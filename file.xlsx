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ol\Downloads\"/>
    </mc:Choice>
  </mc:AlternateContent>
  <xr:revisionPtr revIDLastSave="0" documentId="13_ncr:2001_{91C58D10-3EAB-465A-A298-D3FA33C3BEEB}" xr6:coauthVersionLast="47" xr6:coauthVersionMax="47" xr10:uidLastSave="{00000000-0000-0000-0000-000000000000}"/>
  <bookViews>
    <workbookView xWindow="-108" yWindow="-108" windowWidth="23256" windowHeight="12456" activeTab="3" xr2:uid="{346724B3-1C49-40AE-AA36-C77CF5D6DD09}"/>
  </bookViews>
  <sheets>
    <sheet name="Pivot" sheetId="6" r:id="rId1"/>
    <sheet name="Pivot2" sheetId="10" r:id="rId2"/>
    <sheet name="Data" sheetId="1" r:id="rId3"/>
    <sheet name="Dashboard" sheetId="7" r:id="rId4"/>
    <sheet name="Questions &amp; KPIs" sheetId="2" r:id="rId5"/>
  </sheets>
  <definedNames>
    <definedName name="_xlchart.v5.0" hidden="1">Pivot!$F$75:$G$75</definedName>
    <definedName name="_xlchart.v5.1" hidden="1">Pivot!$F$76:$G$133</definedName>
    <definedName name="_xlchart.v5.2" hidden="1">Pivot!$H$75</definedName>
    <definedName name="_xlchart.v5.3" hidden="1">Pivot!$H$76:$H$133</definedName>
    <definedName name="_xlchart.v5.4" hidden="1">Pivot!$K$75:$L$75</definedName>
    <definedName name="_xlchart.v5.5" hidden="1">Pivot!$K$76:$L$133</definedName>
    <definedName name="_xlchart.v5.6" hidden="1">Pivot!$M$75</definedName>
    <definedName name="_xlchart.v5.7" hidden="1">Pivot!$M$76:$M$133</definedName>
    <definedName name="Slicer_Gender_Value">#N/A</definedName>
    <definedName name="Slicer_Order_Mode">#N/A</definedName>
  </definedNames>
  <calcPr calcId="191029"/>
  <pivotCaches>
    <pivotCache cacheId="1"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5" i="6" l="1"/>
  <c r="F77" i="6"/>
  <c r="K77" i="6" s="1"/>
  <c r="G77" i="6"/>
  <c r="L77" i="6" s="1"/>
  <c r="H77" i="6"/>
  <c r="M77" i="6" s="1"/>
  <c r="F78" i="6"/>
  <c r="K78" i="6" s="1"/>
  <c r="G78" i="6"/>
  <c r="L78" i="6" s="1"/>
  <c r="H78" i="6"/>
  <c r="M78" i="6" s="1"/>
  <c r="F79" i="6"/>
  <c r="K79" i="6" s="1"/>
  <c r="G79" i="6"/>
  <c r="L79" i="6" s="1"/>
  <c r="H79" i="6"/>
  <c r="M79" i="6" s="1"/>
  <c r="F80" i="6"/>
  <c r="K80" i="6" s="1"/>
  <c r="G80" i="6"/>
  <c r="L80" i="6" s="1"/>
  <c r="H80" i="6"/>
  <c r="M80" i="6" s="1"/>
  <c r="F81" i="6"/>
  <c r="K81" i="6" s="1"/>
  <c r="G81" i="6"/>
  <c r="L81" i="6" s="1"/>
  <c r="H81" i="6"/>
  <c r="M81" i="6" s="1"/>
  <c r="F82" i="6"/>
  <c r="K82" i="6" s="1"/>
  <c r="G82" i="6"/>
  <c r="L82" i="6" s="1"/>
  <c r="H82" i="6"/>
  <c r="M82" i="6" s="1"/>
  <c r="F83" i="6"/>
  <c r="K83" i="6" s="1"/>
  <c r="G83" i="6"/>
  <c r="L83" i="6" s="1"/>
  <c r="H83" i="6"/>
  <c r="M83" i="6" s="1"/>
  <c r="F84" i="6"/>
  <c r="K84" i="6" s="1"/>
  <c r="G84" i="6"/>
  <c r="L84" i="6" s="1"/>
  <c r="H84" i="6"/>
  <c r="M84" i="6" s="1"/>
  <c r="F85" i="6"/>
  <c r="K85" i="6" s="1"/>
  <c r="G85" i="6"/>
  <c r="L85" i="6" s="1"/>
  <c r="H85" i="6"/>
  <c r="M85" i="6" s="1"/>
  <c r="F86" i="6"/>
  <c r="K86" i="6" s="1"/>
  <c r="G86" i="6"/>
  <c r="L86" i="6" s="1"/>
  <c r="H86" i="6"/>
  <c r="M86" i="6" s="1"/>
  <c r="F87" i="6"/>
  <c r="K87" i="6" s="1"/>
  <c r="G87" i="6"/>
  <c r="L87" i="6" s="1"/>
  <c r="H87" i="6"/>
  <c r="M87" i="6" s="1"/>
  <c r="F88" i="6"/>
  <c r="K88" i="6" s="1"/>
  <c r="G88" i="6"/>
  <c r="L88" i="6" s="1"/>
  <c r="H88" i="6"/>
  <c r="M88" i="6" s="1"/>
  <c r="F89" i="6"/>
  <c r="K89" i="6" s="1"/>
  <c r="G89" i="6"/>
  <c r="L89" i="6" s="1"/>
  <c r="H89" i="6"/>
  <c r="M89" i="6" s="1"/>
  <c r="F90" i="6"/>
  <c r="K90" i="6" s="1"/>
  <c r="G90" i="6"/>
  <c r="L90" i="6" s="1"/>
  <c r="H90" i="6"/>
  <c r="M90" i="6" s="1"/>
  <c r="F91" i="6"/>
  <c r="K91" i="6" s="1"/>
  <c r="G91" i="6"/>
  <c r="L91" i="6" s="1"/>
  <c r="H91" i="6"/>
  <c r="M91" i="6" s="1"/>
  <c r="F92" i="6"/>
  <c r="K92" i="6" s="1"/>
  <c r="G92" i="6"/>
  <c r="L92" i="6" s="1"/>
  <c r="H92" i="6"/>
  <c r="M92" i="6" s="1"/>
  <c r="F93" i="6"/>
  <c r="K93" i="6" s="1"/>
  <c r="G93" i="6"/>
  <c r="L93" i="6" s="1"/>
  <c r="H93" i="6"/>
  <c r="M93" i="6" s="1"/>
  <c r="F94" i="6"/>
  <c r="K94" i="6" s="1"/>
  <c r="G94" i="6"/>
  <c r="L94" i="6" s="1"/>
  <c r="H94" i="6"/>
  <c r="M94" i="6" s="1"/>
  <c r="F95" i="6"/>
  <c r="K95" i="6" s="1"/>
  <c r="G95" i="6"/>
  <c r="L95" i="6" s="1"/>
  <c r="H95" i="6"/>
  <c r="M95" i="6" s="1"/>
  <c r="F96" i="6"/>
  <c r="K96" i="6" s="1"/>
  <c r="G96" i="6"/>
  <c r="L96" i="6" s="1"/>
  <c r="H96" i="6"/>
  <c r="M96" i="6" s="1"/>
  <c r="F97" i="6"/>
  <c r="K97" i="6" s="1"/>
  <c r="G97" i="6"/>
  <c r="L97" i="6" s="1"/>
  <c r="H97" i="6"/>
  <c r="M97" i="6" s="1"/>
  <c r="F98" i="6"/>
  <c r="K98" i="6" s="1"/>
  <c r="G98" i="6"/>
  <c r="L98" i="6" s="1"/>
  <c r="H98" i="6"/>
  <c r="M98" i="6" s="1"/>
  <c r="F99" i="6"/>
  <c r="K99" i="6" s="1"/>
  <c r="G99" i="6"/>
  <c r="L99" i="6" s="1"/>
  <c r="H99" i="6"/>
  <c r="M99" i="6" s="1"/>
  <c r="F100" i="6"/>
  <c r="K100" i="6" s="1"/>
  <c r="G100" i="6"/>
  <c r="L100" i="6" s="1"/>
  <c r="H100" i="6"/>
  <c r="M100" i="6" s="1"/>
  <c r="F101" i="6"/>
  <c r="K101" i="6" s="1"/>
  <c r="G101" i="6"/>
  <c r="L101" i="6" s="1"/>
  <c r="H101" i="6"/>
  <c r="M101" i="6" s="1"/>
  <c r="F102" i="6"/>
  <c r="K102" i="6" s="1"/>
  <c r="G102" i="6"/>
  <c r="L102" i="6" s="1"/>
  <c r="H102" i="6"/>
  <c r="M102" i="6" s="1"/>
  <c r="F103" i="6"/>
  <c r="K103" i="6" s="1"/>
  <c r="G103" i="6"/>
  <c r="L103" i="6" s="1"/>
  <c r="H103" i="6"/>
  <c r="M103" i="6" s="1"/>
  <c r="F104" i="6"/>
  <c r="K104" i="6" s="1"/>
  <c r="G104" i="6"/>
  <c r="L104" i="6" s="1"/>
  <c r="H104" i="6"/>
  <c r="M104" i="6" s="1"/>
  <c r="F105" i="6"/>
  <c r="K105" i="6" s="1"/>
  <c r="G105" i="6"/>
  <c r="L105" i="6" s="1"/>
  <c r="H105" i="6"/>
  <c r="M105" i="6" s="1"/>
  <c r="F106" i="6"/>
  <c r="K106" i="6" s="1"/>
  <c r="G106" i="6"/>
  <c r="L106" i="6" s="1"/>
  <c r="H106" i="6"/>
  <c r="M106" i="6" s="1"/>
  <c r="F107" i="6"/>
  <c r="K107" i="6" s="1"/>
  <c r="G107" i="6"/>
  <c r="L107" i="6" s="1"/>
  <c r="H107" i="6"/>
  <c r="M107" i="6" s="1"/>
  <c r="F108" i="6"/>
  <c r="K108" i="6" s="1"/>
  <c r="G108" i="6"/>
  <c r="L108" i="6" s="1"/>
  <c r="H108" i="6"/>
  <c r="M108" i="6" s="1"/>
  <c r="F109" i="6"/>
  <c r="K109" i="6" s="1"/>
  <c r="G109" i="6"/>
  <c r="L109" i="6" s="1"/>
  <c r="H109" i="6"/>
  <c r="M109" i="6" s="1"/>
  <c r="F110" i="6"/>
  <c r="K110" i="6" s="1"/>
  <c r="G110" i="6"/>
  <c r="L110" i="6" s="1"/>
  <c r="H110" i="6"/>
  <c r="M110" i="6" s="1"/>
  <c r="F111" i="6"/>
  <c r="K111" i="6" s="1"/>
  <c r="G111" i="6"/>
  <c r="L111" i="6" s="1"/>
  <c r="H111" i="6"/>
  <c r="M111" i="6" s="1"/>
  <c r="F112" i="6"/>
  <c r="K112" i="6" s="1"/>
  <c r="G112" i="6"/>
  <c r="L112" i="6" s="1"/>
  <c r="H112" i="6"/>
  <c r="M112" i="6" s="1"/>
  <c r="F113" i="6"/>
  <c r="K113" i="6" s="1"/>
  <c r="G113" i="6"/>
  <c r="L113" i="6" s="1"/>
  <c r="H113" i="6"/>
  <c r="M113" i="6" s="1"/>
  <c r="F114" i="6"/>
  <c r="K114" i="6" s="1"/>
  <c r="G114" i="6"/>
  <c r="L114" i="6" s="1"/>
  <c r="H114" i="6"/>
  <c r="M114" i="6" s="1"/>
  <c r="F115" i="6"/>
  <c r="K115" i="6" s="1"/>
  <c r="G115" i="6"/>
  <c r="L115" i="6" s="1"/>
  <c r="H115" i="6"/>
  <c r="M115" i="6" s="1"/>
  <c r="F116" i="6"/>
  <c r="K116" i="6" s="1"/>
  <c r="G116" i="6"/>
  <c r="L116" i="6" s="1"/>
  <c r="H116" i="6"/>
  <c r="M116" i="6" s="1"/>
  <c r="F117" i="6"/>
  <c r="K117" i="6" s="1"/>
  <c r="G117" i="6"/>
  <c r="L117" i="6" s="1"/>
  <c r="H117" i="6"/>
  <c r="M117" i="6" s="1"/>
  <c r="F118" i="6"/>
  <c r="K118" i="6" s="1"/>
  <c r="G118" i="6"/>
  <c r="L118" i="6" s="1"/>
  <c r="H118" i="6"/>
  <c r="M118" i="6" s="1"/>
  <c r="F119" i="6"/>
  <c r="K119" i="6" s="1"/>
  <c r="G119" i="6"/>
  <c r="L119" i="6" s="1"/>
  <c r="H119" i="6"/>
  <c r="M119" i="6" s="1"/>
  <c r="F120" i="6"/>
  <c r="K120" i="6" s="1"/>
  <c r="G120" i="6"/>
  <c r="L120" i="6" s="1"/>
  <c r="H120" i="6"/>
  <c r="M120" i="6" s="1"/>
  <c r="F121" i="6"/>
  <c r="K121" i="6" s="1"/>
  <c r="G121" i="6"/>
  <c r="L121" i="6" s="1"/>
  <c r="H121" i="6"/>
  <c r="M121" i="6" s="1"/>
  <c r="F122" i="6"/>
  <c r="K122" i="6" s="1"/>
  <c r="G122" i="6"/>
  <c r="L122" i="6" s="1"/>
  <c r="H122" i="6"/>
  <c r="M122" i="6" s="1"/>
  <c r="F123" i="6"/>
  <c r="K123" i="6" s="1"/>
  <c r="G123" i="6"/>
  <c r="L123" i="6" s="1"/>
  <c r="H123" i="6"/>
  <c r="M123" i="6" s="1"/>
  <c r="F124" i="6"/>
  <c r="K124" i="6" s="1"/>
  <c r="G124" i="6"/>
  <c r="L124" i="6" s="1"/>
  <c r="H124" i="6"/>
  <c r="M124" i="6" s="1"/>
  <c r="F125" i="6"/>
  <c r="K125" i="6" s="1"/>
  <c r="G125" i="6"/>
  <c r="L125" i="6" s="1"/>
  <c r="H125" i="6"/>
  <c r="M125" i="6" s="1"/>
  <c r="F126" i="6"/>
  <c r="K126" i="6" s="1"/>
  <c r="G126" i="6"/>
  <c r="L126" i="6" s="1"/>
  <c r="H126" i="6"/>
  <c r="M126" i="6" s="1"/>
  <c r="F127" i="6"/>
  <c r="K127" i="6" s="1"/>
  <c r="G127" i="6"/>
  <c r="L127" i="6" s="1"/>
  <c r="H127" i="6"/>
  <c r="M127" i="6" s="1"/>
  <c r="F128" i="6"/>
  <c r="K128" i="6" s="1"/>
  <c r="G128" i="6"/>
  <c r="L128" i="6" s="1"/>
  <c r="H128" i="6"/>
  <c r="M128" i="6" s="1"/>
  <c r="F129" i="6"/>
  <c r="K129" i="6" s="1"/>
  <c r="G129" i="6"/>
  <c r="L129" i="6" s="1"/>
  <c r="H129" i="6"/>
  <c r="M129" i="6" s="1"/>
  <c r="F130" i="6"/>
  <c r="K130" i="6" s="1"/>
  <c r="G130" i="6"/>
  <c r="L130" i="6" s="1"/>
  <c r="H130" i="6"/>
  <c r="M130" i="6" s="1"/>
  <c r="F131" i="6"/>
  <c r="K131" i="6" s="1"/>
  <c r="G131" i="6"/>
  <c r="L131" i="6" s="1"/>
  <c r="H131" i="6"/>
  <c r="M131" i="6" s="1"/>
  <c r="F132" i="6"/>
  <c r="K132" i="6" s="1"/>
  <c r="G132" i="6"/>
  <c r="L132" i="6" s="1"/>
  <c r="H132" i="6"/>
  <c r="M132" i="6" s="1"/>
  <c r="F133" i="6"/>
  <c r="K133" i="6" s="1"/>
  <c r="G133" i="6"/>
  <c r="L133" i="6" s="1"/>
  <c r="H133" i="6"/>
  <c r="M133" i="6" s="1"/>
  <c r="G76" i="6"/>
  <c r="L76" i="6" s="1"/>
  <c r="H76" i="6"/>
  <c r="M76" i="6" s="1"/>
  <c r="F76" i="6"/>
  <c r="K76" i="6" s="1"/>
  <c r="G75" i="6"/>
  <c r="L75" i="6" s="1"/>
  <c r="F75" i="6"/>
  <c r="K75" i="6" s="1"/>
  <c r="L4" i="10"/>
  <c r="M4" i="10"/>
  <c r="N4" i="10"/>
  <c r="K4" i="10"/>
  <c r="K5" i="10"/>
  <c r="L5" i="10"/>
  <c r="M5" i="10"/>
  <c r="N5" i="10"/>
  <c r="K6" i="10"/>
  <c r="L6" i="10"/>
  <c r="M6" i="10"/>
  <c r="N6" i="10"/>
  <c r="K7" i="10"/>
  <c r="L7" i="10"/>
  <c r="M7" i="10"/>
  <c r="N7" i="10"/>
  <c r="K8" i="10"/>
  <c r="L8" i="10"/>
  <c r="M8" i="10"/>
  <c r="N8" i="10"/>
  <c r="K9" i="10"/>
  <c r="L9" i="10"/>
  <c r="M9" i="10"/>
  <c r="N9" i="10"/>
  <c r="J6" i="10"/>
  <c r="J7" i="10"/>
  <c r="J8" i="10"/>
  <c r="J9" i="10"/>
  <c r="J5" i="10"/>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K4" i="6"/>
  <c r="L4" i="6"/>
  <c r="J4" i="6"/>
  <c r="I4" i="6"/>
  <c r="H4"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alcChain>
</file>

<file path=xl/sharedStrings.xml><?xml version="1.0" encoding="utf-8"?>
<sst xmlns="http://schemas.openxmlformats.org/spreadsheetml/2006/main" count="14640" uniqueCount="2547">
  <si>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</si>
  <si>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</si>
  <si>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</si>
  <si>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</si>
  <si>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</si>
  <si>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</si>
  <si>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</si>
  <si>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</si>
  <si>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</si>
  <si>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</si>
  <si>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</si>
  <si>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</si>
  <si>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</si>
  <si>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</si>
  <si>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</si>
  <si>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</si>
  <si>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</si>
  <si>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</si>
  <si>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</si>
  <si>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</si>
  <si>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</si>
  <si>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</si>
  <si>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</si>
  <si>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</si>
  <si>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</si>
  <si>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</si>
  <si>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</si>
  <si>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</si>
  <si>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</si>
  <si>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</si>
  <si>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</si>
  <si>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</si>
  <si>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</si>
  <si>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</si>
  <si>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</si>
  <si>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</si>
  <si>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</si>
  <si>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</si>
  <si>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</si>
  <si>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</si>
  <si>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</si>
  <si>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</si>
  <si>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</si>
  <si>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</si>
  <si>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</si>
  <si>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</si>
  <si>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</si>
  <si>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</si>
  <si>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</si>
  <si>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</si>
  <si>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</si>
  <si>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</si>
  <si>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</si>
  <si>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</si>
  <si>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</si>
  <si>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</si>
  <si>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</si>
  <si>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</si>
  <si>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</si>
  <si>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</si>
  <si>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</si>
  <si>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</si>
  <si>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</si>
  <si>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</si>
  <si>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</si>
  <si>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</si>
  <si>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</si>
  <si>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</si>
  <si>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</si>
  <si>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</si>
  <si>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</si>
  <si>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</si>
  <si>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</si>
  <si>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</si>
  <si>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</si>
  <si>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</si>
  <si>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</si>
  <si>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</si>
  <si>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</si>
  <si>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</si>
  <si>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</si>
  <si>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</si>
  <si>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</si>
  <si>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</si>
  <si>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</si>
  <si>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</si>
  <si>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</si>
  <si>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</si>
  <si>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</si>
  <si>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</si>
  <si>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</si>
  <si>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</si>
  <si>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</si>
  <si>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</si>
  <si>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</si>
  <si>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</si>
  <si>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</si>
  <si>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</si>
  <si>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</si>
  <si>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</si>
  <si>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</si>
  <si>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</si>
  <si>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</si>
  <si>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</si>
  <si>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</si>
  <si>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</si>
  <si>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</si>
  <si>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</si>
  <si>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</si>
  <si>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</si>
  <si>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</si>
  <si>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</si>
  <si>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</si>
  <si>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</si>
  <si>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</si>
  <si>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</si>
  <si>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</si>
  <si>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</si>
  <si>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</si>
  <si>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</si>
  <si>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</si>
  <si>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</si>
  <si>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</si>
  <si>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</si>
  <si>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</si>
  <si>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</si>
  <si>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</si>
  <si>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</si>
  <si>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</si>
  <si>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</si>
  <si>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</si>
  <si>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</si>
  <si>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</si>
  <si>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</si>
  <si>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</si>
  <si>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</si>
  <si>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</si>
  <si>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</si>
  <si>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</si>
  <si>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</si>
  <si>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</si>
  <si>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</si>
  <si>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</si>
  <si>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</si>
  <si>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</si>
  <si>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</si>
  <si>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</si>
  <si>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</si>
  <si>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</si>
  <si>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</si>
  <si>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</si>
  <si>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</si>
  <si>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</si>
  <si>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</si>
  <si>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</si>
  <si>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</si>
  <si>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</si>
  <si>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</si>
  <si>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</si>
  <si>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</si>
  <si>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</si>
  <si>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</si>
  <si>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</si>
  <si>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</si>
  <si>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</si>
  <si>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</si>
  <si>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</si>
  <si>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</si>
  <si>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</si>
  <si>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</si>
  <si>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</si>
  <si>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</si>
  <si>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</si>
  <si>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</si>
  <si>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</si>
  <si>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</si>
  <si>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</si>
  <si>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</si>
  <si>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</si>
  <si>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</si>
  <si>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</si>
  <si>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</si>
  <si>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</si>
  <si>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</si>
  <si>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</si>
  <si>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</si>
  <si>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</si>
  <si>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</si>
  <si>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</si>
  <si>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</si>
  <si>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</si>
  <si>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</si>
  <si>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</si>
  <si>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</si>
  <si>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</si>
  <si>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</si>
  <si>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</si>
  <si>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</si>
  <si>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</si>
  <si>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</si>
  <si>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</si>
  <si>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</si>
  <si>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</si>
  <si>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</si>
  <si>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</si>
  <si>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</si>
  <si>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</si>
  <si>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</si>
  <si>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</si>
  <si>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</si>
  <si>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</si>
  <si>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</si>
  <si>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</si>
  <si>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</si>
  <si>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</si>
  <si>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</si>
  <si>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</si>
  <si>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</si>
  <si>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</si>
  <si>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</si>
  <si>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</si>
  <si>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</si>
  <si>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</si>
  <si>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</si>
  <si>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</si>
  <si>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</si>
  <si>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</si>
  <si>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</si>
  <si>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</si>
  <si>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</si>
  <si>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</si>
  <si>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</si>
  <si>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</si>
  <si>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</si>
  <si>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</si>
  <si>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</si>
  <si>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</si>
  <si>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</si>
  <si>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</si>
  <si>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</si>
  <si>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</si>
  <si>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</si>
  <si>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</si>
  <si>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</si>
  <si>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</si>
  <si>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</si>
  <si>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</si>
  <si>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</si>
  <si>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</si>
  <si>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</si>
  <si>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</si>
  <si>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</si>
  <si>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</si>
  <si>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</si>
  <si>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</si>
  <si>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</si>
  <si>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</si>
  <si>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</si>
  <si>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</si>
  <si>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</si>
  <si>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</si>
  <si>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</si>
  <si>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</si>
  <si>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</si>
  <si>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</si>
  <si>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</si>
  <si>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</si>
  <si>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</si>
  <si>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</si>
  <si>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</si>
  <si>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</si>
  <si>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</si>
  <si>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</si>
  <si>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</si>
  <si>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</si>
  <si>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</si>
  <si>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</si>
  <si>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</si>
  <si>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</si>
  <si>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</si>
  <si>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</si>
  <si>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</si>
  <si>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</si>
  <si>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</si>
  <si>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</si>
  <si>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</si>
  <si>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</si>
  <si>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</si>
  <si>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</si>
  <si>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</si>
  <si>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</si>
  <si>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</si>
  <si>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</si>
  <si>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</si>
  <si>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</si>
  <si>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</si>
  <si>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</si>
  <si>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</si>
  <si>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</si>
  <si>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</si>
  <si>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</si>
  <si>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</si>
  <si>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</si>
  <si>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</si>
  <si>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</si>
  <si>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</si>
  <si>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</si>
  <si>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</si>
  <si>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</si>
  <si>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</si>
  <si>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</si>
  <si>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</si>
  <si>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</si>
  <si>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</si>
  <si>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</si>
  <si>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</si>
  <si>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</si>
  <si>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</si>
  <si>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</si>
  <si>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</si>
  <si>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</si>
  <si>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</si>
  <si>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</si>
  <si>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</si>
  <si>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</si>
  <si>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</si>
  <si>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</si>
  <si>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</si>
  <si>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</si>
  <si>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</si>
  <si>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</si>
  <si>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</si>
  <si>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</si>
  <si>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</si>
  <si>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</si>
  <si>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</si>
  <si>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</si>
  <si>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</si>
  <si>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</si>
  <si>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</si>
  <si>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</si>
  <si>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</si>
  <si>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</si>
  <si>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</si>
  <si>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</si>
  <si>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</si>
  <si>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</si>
  <si>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</si>
  <si>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</si>
  <si>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</si>
  <si>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</si>
  <si>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</si>
  <si>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</si>
  <si>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</si>
  <si>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</si>
  <si>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</si>
  <si>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</si>
  <si>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</si>
  <si>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</si>
  <si>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</si>
  <si>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</si>
  <si>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</si>
  <si>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</si>
  <si>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</si>
  <si>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</si>
  <si>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</si>
  <si>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</si>
  <si>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</si>
  <si>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</si>
  <si>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</si>
  <si>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</si>
  <si>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</si>
  <si>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</si>
  <si>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</si>
  <si>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</si>
  <si>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</si>
  <si>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</si>
  <si>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</si>
  <si>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</si>
  <si>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</si>
  <si>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</si>
  <si>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</si>
  <si>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</si>
  <si>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</si>
  <si>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</si>
  <si>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</si>
  <si>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</si>
  <si>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</si>
  <si>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</si>
  <si>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</si>
  <si>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</si>
  <si>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</si>
  <si>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</si>
  <si>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</si>
  <si>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</si>
  <si>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</si>
  <si>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</si>
  <si>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</si>
  <si>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</si>
  <si>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</si>
  <si>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</si>
  <si>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</si>
  <si>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</si>
  <si>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</si>
  <si>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</si>
  <si>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</si>
  <si>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</si>
  <si>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</si>
  <si>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</si>
  <si>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</si>
  <si>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</si>
  <si>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</si>
  <si>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</si>
  <si>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</si>
  <si>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</si>
  <si>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</si>
  <si>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</si>
  <si>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</si>
  <si>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</si>
  <si>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</si>
  <si>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</si>
  <si>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</si>
  <si>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</si>
  <si>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</si>
  <si>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</si>
  <si>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</si>
  <si>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</si>
  <si>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</si>
  <si>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</si>
  <si>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</si>
  <si>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</si>
  <si>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</si>
  <si>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</si>
  <si>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</si>
  <si>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</si>
  <si>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</si>
  <si>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</si>
  <si>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</si>
  <si>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</si>
  <si>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</si>
  <si>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</si>
  <si>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</si>
  <si>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</si>
  <si>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</si>
  <si>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</si>
  <si>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</si>
  <si>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</si>
  <si>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</si>
  <si>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</si>
  <si>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</si>
  <si>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</si>
  <si>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</si>
  <si>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</si>
  <si>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</si>
  <si>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</si>
  <si>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</si>
  <si>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</si>
  <si>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</si>
  <si>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</si>
  <si>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</si>
  <si>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</si>
  <si>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</si>
  <si>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</si>
  <si>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</si>
  <si>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</si>
  <si>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</si>
  <si>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</si>
  <si>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</si>
  <si>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</si>
  <si>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</si>
  <si>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</si>
  <si>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</si>
  <si>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</si>
  <si>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</si>
  <si>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</si>
  <si>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</si>
  <si>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</si>
  <si>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</si>
  <si>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</si>
  <si>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</si>
  <si>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</si>
  <si>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</si>
  <si>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</si>
  <si>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</si>
  <si>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</si>
  <si>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</si>
  <si>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</si>
  <si>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</si>
  <si>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</si>
  <si>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</si>
  <si>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</si>
  <si>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</si>
  <si>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</si>
  <si>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</si>
  <si>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</si>
  <si>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</si>
  <si>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</si>
  <si>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</si>
  <si>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</si>
  <si>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</si>
  <si>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</si>
  <si>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</si>
  <si>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</si>
  <si>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</si>
  <si>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</si>
  <si>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</si>
  <si>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</si>
  <si>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</si>
  <si>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</si>
  <si>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</si>
  <si>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</si>
  <si>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</si>
  <si>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</si>
  <si>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</si>
  <si>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</si>
  <si>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</si>
  <si>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</si>
  <si>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</si>
  <si>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</si>
  <si>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</si>
  <si>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</si>
  <si>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</si>
  <si>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</si>
  <si>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</si>
  <si>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</si>
  <si>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</si>
  <si>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</si>
  <si>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</si>
  <si>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</si>
  <si>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</si>
  <si>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</si>
  <si>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</si>
  <si>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</si>
  <si>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</si>
  <si>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</si>
  <si>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</si>
  <si>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</si>
  <si>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</si>
  <si>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</si>
  <si>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</si>
  <si>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</si>
  <si>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</si>
  <si>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</si>
  <si>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</si>
  <si>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</si>
  <si>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</si>
  <si>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</si>
  <si>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</si>
  <si>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</si>
  <si>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</si>
  <si>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</si>
  <si>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</si>
  <si>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</si>
  <si>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</si>
  <si>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</si>
  <si>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</si>
  <si>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</si>
  <si>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</si>
  <si>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</si>
  <si>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</si>
  <si>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</si>
  <si>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</si>
  <si>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</si>
  <si>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</si>
  <si>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</si>
  <si>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</si>
  <si>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</si>
  <si>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</si>
  <si>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</si>
  <si>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</si>
  <si>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</si>
  <si>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</si>
  <si>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</si>
  <si>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</si>
  <si>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</si>
  <si>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</si>
  <si>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</si>
  <si>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</si>
  <si>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</si>
  <si>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</si>
  <si>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</si>
  <si>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</si>
  <si>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</si>
  <si>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</si>
  <si>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</si>
  <si>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</si>
  <si>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</si>
  <si>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</si>
  <si>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</si>
  <si>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</si>
  <si>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</si>
  <si>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</si>
  <si>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</si>
  <si>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</si>
  <si>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</si>
  <si>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</si>
  <si>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</si>
  <si>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</si>
  <si>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</si>
  <si>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</si>
  <si>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</si>
  <si>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</si>
  <si>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</si>
  <si>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</si>
  <si>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</si>
  <si>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</si>
  <si>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</si>
  <si>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</si>
  <si>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</si>
  <si>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</si>
  <si>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</si>
  <si>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</si>
  <si>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</si>
  <si>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</si>
  <si>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</si>
  <si>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</si>
  <si>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</si>
  <si>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</si>
  <si>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</si>
  <si>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</si>
  <si>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</si>
  <si>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</si>
  <si>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</si>
  <si>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</si>
  <si>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</si>
  <si>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</si>
  <si>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</si>
  <si>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</si>
  <si>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</si>
  <si>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</si>
  <si>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</si>
  <si>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</si>
  <si>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</si>
  <si>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</si>
  <si>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</si>
  <si>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</si>
  <si>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</si>
  <si>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</si>
  <si>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</si>
  <si>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</si>
  <si>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</si>
  <si>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</si>
  <si>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</si>
  <si>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</si>
  <si>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</si>
  <si>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</si>
  <si>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</si>
  <si>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</si>
  <si>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</si>
  <si>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</si>
  <si>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</si>
  <si>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</si>
  <si>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</si>
  <si>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</si>
  <si>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</si>
  <si>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</si>
  <si>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</si>
  <si>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</si>
  <si>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</si>
  <si>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</si>
  <si>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</si>
  <si>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</si>
  <si>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</si>
  <si>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</si>
  <si>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</si>
  <si>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</si>
  <si>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</si>
  <si>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</si>
  <si>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</si>
  <si>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</si>
  <si>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</si>
  <si>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</si>
  <si>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</si>
  <si>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</si>
  <si>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</si>
  <si>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</si>
  <si>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</si>
  <si>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</si>
  <si>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</si>
  <si>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</si>
  <si>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</si>
  <si>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</si>
  <si>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</si>
  <si>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</si>
  <si>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</si>
  <si>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</si>
  <si>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</si>
  <si>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</si>
  <si>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</si>
  <si>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</si>
  <si>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</si>
  <si>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</si>
  <si>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</si>
  <si>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</si>
  <si>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</si>
  <si>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</si>
  <si>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</si>
  <si>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</si>
  <si>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</si>
  <si>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</si>
  <si>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</si>
  <si>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</si>
  <si>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</si>
  <si>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</si>
  <si>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</si>
  <si>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</si>
  <si>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</si>
  <si>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</si>
  <si>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</si>
  <si>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</si>
  <si>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</si>
  <si>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</si>
  <si>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</si>
  <si>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</si>
  <si>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</si>
  <si>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</si>
  <si>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</si>
  <si>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</si>
  <si>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</si>
  <si>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</si>
  <si>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</si>
  <si>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</si>
  <si>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</si>
  <si>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</si>
  <si>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</si>
  <si>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</si>
  <si>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</si>
  <si>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</si>
  <si>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</si>
  <si>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</si>
  <si>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</si>
  <si>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</si>
  <si>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</si>
  <si>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</si>
  <si>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</si>
  <si>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</si>
  <si>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</si>
  <si>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</si>
  <si>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</si>
  <si>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</si>
  <si>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</si>
  <si>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</si>
  <si>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</si>
  <si>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</si>
  <si>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</si>
  <si>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</si>
  <si>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</si>
  <si>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</si>
  <si>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</si>
  <si>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</si>
  <si>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</si>
  <si>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</si>
  <si>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</si>
  <si>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</si>
  <si>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</si>
  <si>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</si>
  <si>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</si>
  <si>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</si>
  <si>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</si>
  <si>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</si>
  <si>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</si>
  <si>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</si>
  <si>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</si>
  <si>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</si>
  <si>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</si>
  <si>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</si>
  <si>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</si>
  <si>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</si>
  <si>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</si>
  <si>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</si>
  <si>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</si>
  <si>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</si>
  <si>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</si>
  <si>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</si>
  <si>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</si>
  <si>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</si>
  <si>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</si>
  <si>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</si>
  <si>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</si>
  <si>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</si>
  <si>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</si>
  <si>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</si>
  <si>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</si>
  <si>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</si>
  <si>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</si>
  <si>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</si>
  <si>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</si>
  <si>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</si>
  <si>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</si>
  <si>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</si>
  <si>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</si>
  <si>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</si>
  <si>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</si>
  <si>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</si>
  <si>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</si>
  <si>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</si>
  <si>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</si>
  <si>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</si>
  <si>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</si>
  <si>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</si>
  <si>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</si>
  <si>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</si>
  <si>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</si>
  <si>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</si>
  <si>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</si>
  <si>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</si>
  <si>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</si>
  <si>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</si>
  <si>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</si>
  <si>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</si>
  <si>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</si>
  <si>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</si>
  <si>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</si>
  <si>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</si>
  <si>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</si>
  <si>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</si>
  <si>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</si>
  <si>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</si>
  <si>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</si>
  <si>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</si>
  <si>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</si>
  <si>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</si>
  <si>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</si>
  <si>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</si>
  <si>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</si>
  <si>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</si>
  <si>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</si>
  <si>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</si>
  <si>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</si>
  <si>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</si>
  <si>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</si>
  <si>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</si>
  <si>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</si>
  <si>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</si>
  <si>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</si>
  <si>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</si>
  <si>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</si>
  <si>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</si>
  <si>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</si>
  <si>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</si>
  <si>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</si>
  <si>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</si>
  <si>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</si>
  <si>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</si>
  <si>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</si>
  <si>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</si>
  <si>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</si>
  <si>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</si>
  <si>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</si>
  <si>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</si>
  <si>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</si>
  <si>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</si>
  <si>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</si>
  <si>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</si>
  <si>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</si>
  <si>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</si>
  <si>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</si>
  <si>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</si>
  <si>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</si>
  <si>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</si>
  <si>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</si>
  <si>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</si>
  <si>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</si>
  <si>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</si>
  <si>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</si>
  <si>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</si>
  <si>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</si>
  <si>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</si>
  <si>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</si>
  <si>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</si>
  <si>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</si>
  <si>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</si>
  <si>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</si>
  <si>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</si>
  <si>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</si>
  <si>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</si>
  <si>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</si>
  <si>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</si>
  <si>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</si>
  <si>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</si>
  <si>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</si>
  <si>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</si>
  <si>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</si>
  <si>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</si>
  <si>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</si>
  <si>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</si>
  <si>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</si>
  <si>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</si>
  <si>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</si>
  <si>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</si>
  <si>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</si>
  <si>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</si>
  <si>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</si>
  <si>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</si>
  <si>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</si>
  <si>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</si>
  <si>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</si>
  <si>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</si>
  <si>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</si>
  <si>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</si>
  <si>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</si>
  <si>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</si>
  <si>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</si>
  <si>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</si>
  <si>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</si>
  <si>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</si>
  <si>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</si>
  <si>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</si>
  <si>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</si>
  <si>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</si>
  <si>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</si>
  <si>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</si>
  <si>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</si>
  <si>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</si>
  <si>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</si>
  <si>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</si>
  <si>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</si>
  <si>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</si>
  <si>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</si>
  <si>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</si>
  <si>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</si>
  <si>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</si>
  <si>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</si>
  <si>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</si>
  <si>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</si>
  <si>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</si>
  <si>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</si>
  <si>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</si>
  <si>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</si>
  <si>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</si>
  <si>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</si>
  <si>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</si>
  <si>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</si>
  <si>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</si>
  <si>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</si>
  <si>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</si>
  <si>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</si>
  <si>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</si>
  <si>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</si>
  <si>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</si>
  <si>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</si>
  <si>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</si>
  <si>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</si>
  <si>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</si>
  <si>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</si>
  <si>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</si>
  <si>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</si>
  <si>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</si>
  <si>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</si>
  <si>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</si>
  <si>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</si>
  <si>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</si>
  <si>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</si>
  <si>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</si>
  <si>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</si>
  <si>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</si>
  <si>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</si>
  <si>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</si>
  <si>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</si>
  <si>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</si>
  <si>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</si>
  <si>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</si>
  <si>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</si>
  <si>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</si>
  <si>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</si>
  <si>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</si>
  <si>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</si>
  <si>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</si>
  <si>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</si>
  <si>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</si>
  <si>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</si>
  <si>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</si>
  <si>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</si>
  <si>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</si>
  <si>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</si>
  <si>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</si>
  <si>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</si>
  <si>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</si>
  <si>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</si>
  <si>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</si>
  <si>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</si>
  <si>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</si>
  <si>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</si>
  <si>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</si>
  <si>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</si>
  <si>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</si>
  <si>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</si>
  <si>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</si>
  <si>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</si>
  <si>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</si>
  <si>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</si>
  <si>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</si>
  <si>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</si>
  <si>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</si>
  <si>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</si>
  <si>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</si>
  <si>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</si>
  <si>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</si>
  <si>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</si>
  <si>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</si>
  <si>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</si>
  <si>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</si>
  <si>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</si>
  <si>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</si>
  <si>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</si>
  <si>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</si>
  <si>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</si>
  <si>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</si>
  <si>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</si>
  <si>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</si>
  <si>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</si>
  <si>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</si>
  <si>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</si>
  <si>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</si>
  <si>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</si>
  <si>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</si>
  <si>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</si>
  <si>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</si>
  <si>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</si>
  <si>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</si>
  <si>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</si>
  <si>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</si>
  <si>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</si>
  <si>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</si>
  <si>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</si>
  <si>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</si>
  <si>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</si>
  <si>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</si>
  <si>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</si>
  <si>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</si>
  <si>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</si>
  <si>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</si>
  <si>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</si>
  <si>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</si>
  <si>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</si>
  <si>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</si>
  <si>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</si>
  <si>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</si>
  <si>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</si>
  <si>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</si>
  <si>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</si>
  <si>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</si>
  <si>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</si>
  <si>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</si>
  <si>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</si>
  <si>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</si>
  <si>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</si>
  <si>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</si>
  <si>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</si>
  <si>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</si>
  <si>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</si>
  <si>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</si>
  <si>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</si>
  <si>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</si>
  <si>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</si>
  <si>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</si>
  <si>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</si>
  <si>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</si>
  <si>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</si>
  <si>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</si>
  <si>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</si>
  <si>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</si>
  <si>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</si>
  <si>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</si>
  <si>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</si>
  <si>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</si>
  <si>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</si>
  <si>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</si>
  <si>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</si>
  <si>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</si>
  <si>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</si>
  <si>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</si>
  <si>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</si>
  <si>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</si>
  <si>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</si>
  <si>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</si>
  <si>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</si>
  <si>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</si>
  <si>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</si>
  <si>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</si>
  <si>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</si>
  <si>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</si>
  <si>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</si>
  <si>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</si>
  <si>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</si>
  <si>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</si>
  <si>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</si>
  <si>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</si>
  <si>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</si>
  <si>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</si>
  <si>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</si>
  <si>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</si>
  <si>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</si>
  <si>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</si>
  <si>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</si>
  <si>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</si>
  <si>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</si>
  <si>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</si>
  <si>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</si>
  <si>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</si>
  <si>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</si>
  <si>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</si>
  <si>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</si>
  <si>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</si>
  <si>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</si>
  <si>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</si>
  <si>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</si>
  <si>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</si>
  <si>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</si>
  <si>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</si>
  <si>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</si>
  <si>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</si>
  <si>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</si>
  <si>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</si>
  <si>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</si>
  <si>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</si>
  <si>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</si>
  <si>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</si>
  <si>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</si>
  <si>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</si>
  <si>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</si>
  <si>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</si>
  <si>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</si>
  <si>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</si>
  <si>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</si>
  <si>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</si>
  <si>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</si>
  <si>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</si>
  <si>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</si>
  <si>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</si>
  <si>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</si>
  <si>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</si>
  <si>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</si>
  <si>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</si>
  <si>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</si>
  <si>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</si>
  <si>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</si>
  <si>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</si>
  <si>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</si>
  <si>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</si>
  <si>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</si>
  <si>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</si>
  <si>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</si>
  <si>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</si>
  <si>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</si>
  <si>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</si>
  <si>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</si>
  <si>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</si>
  <si>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</si>
  <si>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</si>
  <si>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</si>
  <si>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</si>
  <si>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</si>
  <si>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</si>
  <si>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</si>
  <si>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</si>
  <si>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</si>
  <si>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</si>
  <si>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</si>
  <si>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</si>
  <si>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</si>
  <si>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</si>
  <si>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</si>
  <si>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</si>
  <si>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</si>
  <si>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</si>
  <si>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</si>
  <si>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</si>
  <si>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</si>
  <si>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</si>
  <si>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</si>
  <si>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</si>
  <si>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</si>
  <si>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</si>
  <si>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</si>
  <si>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</si>
  <si>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</si>
  <si>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</si>
  <si>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</si>
  <si>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</si>
  <si>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</si>
  <si>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</si>
  <si>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</si>
  <si>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</si>
  <si>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</si>
  <si>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</si>
  <si>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</si>
  <si>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</si>
  <si>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</si>
  <si>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</si>
  <si>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</si>
  <si>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</si>
  <si>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</si>
  <si>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</si>
  <si>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</si>
  <si>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</si>
  <si>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</si>
  <si>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</si>
  <si>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</si>
  <si>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</si>
  <si>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</si>
  <si>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</si>
  <si>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</si>
  <si>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</si>
  <si>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</si>
  <si>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</si>
  <si>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</si>
  <si>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</si>
  <si>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</si>
  <si>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</si>
  <si>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</si>
  <si>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</si>
  <si>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</si>
  <si>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</si>
  <si>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</si>
  <si>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</si>
  <si>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</si>
  <si>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</si>
  <si>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</si>
  <si>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</si>
  <si>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</si>
  <si>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</si>
  <si>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</si>
  <si>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</si>
  <si>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</si>
  <si>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</si>
  <si>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</si>
  <si>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</si>
  <si>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</si>
  <si>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</si>
  <si>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</si>
  <si>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</si>
  <si>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</si>
  <si>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</si>
  <si>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</si>
  <si>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</si>
  <si>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</si>
  <si>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</si>
  <si>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</si>
  <si>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</si>
  <si>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</si>
  <si>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</si>
  <si>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</si>
  <si>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</si>
  <si>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</si>
  <si>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</si>
  <si>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</si>
  <si>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</si>
  <si>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</si>
  <si>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</si>
  <si>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</si>
  <si>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</si>
  <si>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</si>
  <si>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</si>
  <si>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</si>
  <si>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</si>
  <si>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</si>
  <si>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</si>
  <si>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</si>
  <si>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</si>
  <si>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</si>
  <si>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</si>
  <si>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</si>
  <si>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</si>
  <si>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</si>
  <si>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</si>
  <si>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</si>
  <si>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</si>
  <si>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</si>
  <si>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</si>
  <si>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</si>
  <si>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</si>
  <si>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</si>
  <si>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</si>
  <si>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</si>
  <si>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</si>
  <si>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</si>
  <si>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</si>
  <si>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</si>
  <si>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</si>
  <si>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</si>
  <si>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</si>
  <si>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</si>
  <si>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</si>
  <si>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</si>
  <si>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</si>
  <si>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</si>
  <si>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</si>
  <si>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</si>
  <si>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</si>
  <si>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</si>
  <si>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</si>
  <si>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</si>
  <si>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</si>
  <si>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</si>
  <si>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</si>
  <si>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</si>
  <si>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</si>
  <si>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</si>
  <si>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</si>
  <si>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</si>
  <si>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</si>
  <si>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</si>
  <si>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</si>
  <si>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</si>
  <si>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</si>
  <si>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</si>
  <si>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</si>
  <si>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</si>
  <si>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</si>
  <si>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</si>
  <si>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</si>
  <si>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</si>
  <si>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</si>
  <si>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</si>
  <si>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</si>
  <si>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</si>
  <si>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</si>
  <si>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</si>
  <si>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</si>
  <si>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</si>
  <si>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</si>
  <si>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</si>
  <si>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</si>
  <si>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</si>
  <si>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</si>
  <si>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</si>
  <si>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</si>
  <si>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</si>
  <si>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</si>
  <si>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</si>
  <si>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</si>
  <si>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</si>
  <si>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</si>
  <si>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</si>
  <si>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</si>
  <si>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</si>
  <si>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</si>
  <si>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</si>
  <si>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</si>
  <si>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</si>
  <si>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</si>
  <si>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</si>
  <si>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</si>
  <si>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</si>
  <si>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</si>
  <si>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</si>
  <si>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</si>
  <si>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</si>
  <si>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</si>
  <si>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</si>
  <si>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</si>
  <si>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</si>
  <si>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</si>
  <si>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</si>
  <si>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</si>
  <si>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</si>
  <si>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</si>
  <si>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</si>
  <si>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</si>
  <si>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</si>
  <si>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</si>
  <si>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</si>
  <si>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</si>
  <si>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</si>
  <si>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</si>
  <si>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</si>
  <si>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</si>
  <si>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</si>
  <si>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</si>
  <si>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</si>
  <si>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</si>
  <si>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</si>
  <si>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</si>
  <si>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</si>
  <si>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</si>
  <si>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</si>
  <si>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</si>
  <si>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</si>
  <si>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</si>
  <si>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</si>
  <si>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</si>
  <si>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</si>
  <si>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</si>
  <si>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</si>
  <si>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</si>
  <si>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</si>
  <si>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</si>
  <si>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</si>
  <si>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</si>
  <si>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</si>
  <si>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</si>
  <si>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</si>
  <si>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</si>
  <si>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</si>
  <si>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</si>
  <si>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</si>
  <si>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</si>
  <si>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</si>
  <si>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</si>
  <si>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</si>
  <si>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</si>
  <si>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</si>
  <si>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</si>
  <si>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</si>
  <si>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</si>
  <si>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</si>
  <si>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</si>
  <si>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</si>
  <si>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</si>
  <si>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</si>
  <si>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</si>
  <si>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</si>
  <si>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</si>
  <si>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</si>
  <si>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</si>
  <si>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</si>
  <si>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</si>
  <si>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</si>
  <si>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</si>
  <si>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</si>
  <si>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</si>
  <si>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</si>
  <si>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</si>
  <si>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</si>
  <si>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</si>
  <si>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</si>
  <si>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</si>
  <si>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</si>
  <si>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</si>
  <si>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</si>
  <si>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</si>
  <si>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</si>
  <si>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</si>
  <si>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</si>
  <si>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</si>
  <si>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</si>
  <si>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</si>
  <si>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</si>
  <si>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</si>
  <si>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</si>
  <si>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</si>
  <si>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</si>
  <si>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</si>
  <si>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</si>
  <si>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</si>
  <si>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</si>
  <si>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</si>
  <si>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</si>
  <si>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</si>
  <si>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</si>
  <si>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</si>
  <si>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</si>
  <si>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</si>
  <si>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</si>
  <si>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</si>
  <si>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</si>
  <si>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</si>
  <si>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</si>
  <si>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</si>
  <si>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</si>
  <si>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</si>
  <si>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</si>
  <si>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</si>
  <si>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</si>
  <si>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</si>
  <si>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</si>
  <si>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</si>
  <si>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</si>
  <si>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</si>
  <si>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</si>
  <si>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</si>
  <si>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</si>
  <si>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</si>
  <si>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</si>
  <si>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</si>
  <si>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</si>
  <si>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</si>
  <si>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</si>
  <si>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</si>
  <si>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</si>
  <si>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</si>
  <si>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</si>
  <si>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</si>
  <si>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</si>
  <si>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</si>
  <si>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</si>
  <si>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</si>
  <si>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</si>
  <si>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</si>
  <si>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</si>
  <si>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</si>
  <si>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</si>
  <si>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</si>
  <si>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</si>
  <si>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</si>
  <si>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</si>
  <si>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</si>
  <si>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</si>
  <si>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</si>
  <si>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</si>
  <si>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</si>
  <si>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</si>
  <si>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</si>
  <si>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</si>
  <si>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</si>
  <si>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</si>
  <si>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</si>
  <si>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</si>
  <si>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</si>
  <si>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</si>
  <si>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</si>
  <si>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</si>
  <si>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</si>
  <si>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</si>
  <si>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</si>
  <si>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</si>
  <si>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</si>
  <si>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</si>
  <si>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</si>
  <si>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</si>
  <si>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</si>
  <si>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</si>
  <si>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</si>
  <si>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</si>
  <si>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</si>
  <si>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</si>
  <si>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</si>
  <si>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</si>
  <si>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</si>
  <si>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</si>
  <si>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</si>
  <si>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</si>
  <si>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</si>
  <si>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</si>
  <si>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</si>
  <si>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</si>
  <si>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</si>
  <si>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</si>
  <si>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</si>
  <si>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</si>
  <si>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</si>
  <si>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</si>
  <si>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</si>
  <si>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</si>
  <si>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</si>
  <si>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</si>
  <si>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</si>
  <si>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</si>
  <si>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</si>
  <si>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</si>
  <si>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</si>
  <si>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</si>
  <si>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</si>
  <si>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</si>
  <si>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</si>
  <si>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</si>
  <si>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</si>
  <si>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</si>
  <si>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</si>
  <si>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</si>
  <si>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</si>
  <si>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</si>
  <si>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</si>
  <si>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</si>
  <si>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</si>
  <si>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</si>
  <si>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</si>
  <si>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</si>
  <si>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</si>
  <si>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</si>
  <si>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</si>
  <si>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</si>
  <si>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</si>
  <si>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</si>
  <si>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</si>
  <si>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</si>
  <si>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</si>
  <si>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</si>
  <si>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</si>
  <si>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</si>
  <si>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</si>
  <si>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</si>
  <si>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</si>
  <si>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</si>
  <si>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</si>
  <si>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</si>
  <si>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</si>
  <si>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</si>
  <si>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</si>
  <si>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</si>
  <si>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</si>
  <si>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</si>
  <si>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</si>
  <si>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</si>
  <si>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</si>
  <si>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</si>
  <si>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</si>
  <si>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</si>
  <si>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</si>
  <si>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</si>
  <si>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</si>
  <si>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</si>
  <si>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</si>
  <si>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</si>
  <si>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</si>
  <si>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</si>
  <si>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</si>
  <si>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</si>
  <si>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</si>
  <si>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</si>
  <si>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</si>
  <si>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</si>
  <si>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</si>
  <si>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</si>
  <si>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</si>
  <si>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</si>
  <si>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</si>
  <si>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</si>
  <si>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</si>
  <si>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</si>
  <si>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</si>
  <si>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</si>
  <si>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</si>
  <si>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</si>
  <si>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</si>
  <si>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</si>
  <si>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</si>
  <si>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</si>
  <si>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</si>
  <si>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</si>
  <si>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</si>
  <si>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</si>
  <si>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</si>
  <si>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</si>
  <si>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</si>
  <si>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</si>
  <si>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</si>
  <si>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</si>
  <si>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</si>
  <si>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</si>
  <si>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</si>
  <si>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</si>
  <si>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</si>
  <si>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</si>
  <si>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</si>
  <si>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</si>
  <si>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</si>
  <si>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</si>
  <si>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</si>
  <si>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</si>
  <si>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</si>
  <si>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</si>
  <si>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</si>
  <si>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</si>
  <si>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</si>
  <si>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</si>
  <si>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</si>
  <si>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</si>
  <si>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</si>
  <si>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</si>
  <si>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</si>
  <si>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</si>
  <si>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</si>
  <si>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</si>
  <si>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</si>
  <si>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</si>
  <si>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</si>
  <si>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</si>
  <si>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</si>
  <si>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</si>
  <si>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</si>
  <si>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</si>
  <si>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</si>
  <si>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</si>
  <si>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</si>
  <si>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</si>
  <si>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</si>
  <si>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</si>
  <si>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</si>
  <si>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</si>
  <si>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</si>
  <si>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</si>
  <si>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</si>
  <si>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</si>
  <si>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</si>
  <si>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</si>
  <si>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</si>
  <si>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</si>
  <si>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</si>
  <si>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</si>
  <si>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</si>
  <si>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</si>
  <si>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</si>
  <si>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</si>
  <si>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</si>
  <si>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</si>
  <si>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</si>
  <si>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</si>
  <si>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</si>
  <si>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</si>
  <si>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</si>
  <si>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</si>
  <si>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</si>
  <si>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</si>
  <si>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</si>
  <si>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</si>
  <si>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</si>
  <si>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</si>
  <si>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</si>
  <si>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</si>
  <si>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</si>
  <si>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</si>
  <si>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</si>
  <si>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</si>
  <si>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</si>
  <si>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</si>
  <si>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</si>
  <si>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</si>
  <si>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</si>
  <si>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</si>
  <si>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</si>
  <si>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</si>
  <si>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</si>
  <si>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</si>
  <si>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</si>
  <si>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</si>
  <si>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</si>
  <si>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</si>
  <si>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</si>
  <si>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</si>
  <si>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</si>
  <si>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</si>
  <si>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</si>
  <si>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</si>
  <si>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</si>
  <si>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</si>
  <si>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</si>
  <si>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</si>
  <si>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</si>
  <si>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</si>
  <si>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</si>
  <si>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</si>
  <si>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</si>
  <si>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</si>
  <si>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</si>
  <si>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</si>
  <si>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</si>
  <si>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</si>
  <si>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</si>
  <si>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</si>
  <si>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</si>
  <si>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</si>
  <si>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</si>
  <si>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</si>
  <si>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</si>
  <si>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</si>
  <si>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</si>
  <si>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</si>
  <si>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</si>
  <si>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</si>
  <si>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</si>
  <si>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</si>
  <si>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</si>
  <si>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</si>
  <si>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</si>
  <si>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</si>
  <si>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</si>
  <si>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</si>
  <si>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</si>
  <si>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</si>
  <si>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</si>
  <si>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</si>
  <si>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</si>
  <si>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</si>
  <si>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</si>
  <si>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</si>
  <si>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</si>
  <si>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</si>
  <si>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</si>
  <si>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</si>
  <si>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</si>
  <si>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</si>
  <si>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</si>
  <si>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</si>
  <si>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</si>
  <si>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</si>
  <si>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</si>
  <si>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</si>
  <si>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</si>
  <si>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</si>
  <si>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</si>
  <si>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</si>
  <si>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</si>
  <si>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</si>
  <si>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</si>
  <si>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</si>
  <si>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</si>
  <si>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</si>
  <si>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</si>
  <si>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</si>
  <si>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</si>
  <si>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</si>
  <si>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</si>
  <si>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</si>
  <si>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</si>
  <si>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</si>
  <si>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</si>
  <si>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</si>
  <si>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</si>
  <si>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</si>
  <si>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</si>
  <si>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</si>
  <si>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</si>
  <si>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</si>
  <si>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</si>
  <si>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</si>
  <si>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</si>
  <si>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</si>
  <si>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</si>
  <si>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</si>
  <si>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</si>
  <si>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</si>
  <si>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</si>
  <si>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</si>
  <si>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</si>
  <si>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</si>
  <si>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</si>
  <si>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</si>
  <si>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</si>
  <si>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</si>
  <si>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</si>
  <si>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</si>
  <si>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</si>
  <si>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</si>
  <si>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</si>
  <si>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</si>
  <si>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</si>
  <si>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</si>
  <si>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</si>
  <si>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</si>
  <si>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</si>
  <si>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</si>
  <si>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</si>
  <si>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</si>
  <si>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</si>
  <si>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</si>
  <si>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</si>
  <si>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</si>
  <si>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</si>
  <si>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</si>
  <si>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</si>
  <si>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</si>
  <si>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</si>
  <si>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</si>
  <si>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</si>
  <si>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</si>
  <si>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</si>
  <si>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</si>
  <si>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</si>
  <si>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</si>
  <si>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</si>
  <si>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</si>
  <si>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</si>
  <si>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</si>
  <si>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</si>
  <si>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</si>
  <si>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</si>
  <si>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</si>
  <si>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</si>
  <si>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</si>
  <si>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</si>
  <si>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</si>
  <si>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</si>
  <si>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</si>
  <si>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</si>
  <si>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</si>
  <si>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</si>
  <si>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</si>
  <si>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</si>
  <si>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</si>
  <si>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</si>
  <si>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</si>
  <si>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</si>
  <si>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</si>
  <si>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</si>
  <si>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</si>
  <si>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</si>
  <si>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</si>
  <si>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</si>
  <si>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</si>
  <si>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</si>
  <si>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</si>
  <si>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</si>
  <si>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</si>
  <si>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</si>
  <si>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</si>
  <si>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</si>
  <si>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</si>
  <si>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</si>
  <si>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</si>
  <si>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</si>
  <si>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</si>
  <si>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</si>
  <si>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</si>
  <si>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</si>
  <si>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</si>
  <si>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</si>
  <si>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</si>
  <si>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</si>
  <si>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</si>
  <si>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</si>
  <si>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</si>
  <si>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</si>
  <si>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</si>
  <si>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</si>
  <si>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</si>
  <si>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</si>
  <si>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</si>
  <si>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</si>
  <si>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</si>
  <si>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</si>
  <si>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</si>
  <si>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</si>
  <si>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</si>
  <si>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</si>
  <si>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</si>
  <si>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</si>
  <si>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</si>
  <si>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</si>
  <si>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</si>
  <si>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</si>
  <si>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</si>
  <si>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</si>
  <si>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</si>
  <si>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</si>
  <si>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</si>
  <si>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</si>
  <si>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</si>
  <si>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</si>
  <si>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</si>
  <si>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</si>
  <si>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</si>
  <si>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</si>
  <si>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</si>
  <si>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</si>
  <si>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</si>
  <si>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</si>
  <si>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</si>
  <si>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</si>
  <si>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</si>
  <si>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</si>
  <si>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</si>
  <si>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</si>
  <si>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</si>
  <si>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</si>
  <si>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</si>
  <si>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</si>
  <si>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</si>
  <si>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</si>
  <si>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</si>
  <si>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</si>
  <si>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</si>
  <si>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</si>
  <si>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</si>
  <si>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</si>
  <si>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</si>
  <si>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</si>
  <si>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</si>
  <si>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</si>
  <si>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</si>
  <si>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</si>
  <si>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</si>
  <si>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</si>
  <si>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</si>
  <si>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</si>
  <si>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</si>
  <si>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</si>
  <si>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</si>
  <si>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</si>
  <si>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</si>
  <si>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</si>
  <si>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</si>
  <si>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</si>
  <si>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</si>
  <si>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</si>
  <si>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</si>
  <si>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</si>
  <si>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</si>
  <si>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</si>
  <si>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</si>
  <si>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</si>
  <si>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</si>
  <si>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</si>
  <si>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</si>
  <si>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</si>
  <si>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</si>
  <si>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</si>
  <si>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</si>
  <si>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</si>
  <si>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</si>
  <si>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</si>
  <si>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</si>
  <si>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</si>
  <si>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</si>
  <si>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</si>
  <si>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</si>
  <si>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</si>
  <si>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</si>
  <si>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</si>
  <si>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</si>
  <si>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</si>
  <si>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</si>
  <si>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</si>
  <si>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</si>
  <si>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</si>
  <si>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</si>
  <si>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</si>
  <si>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</si>
  <si>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</si>
  <si>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</si>
  <si>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</si>
  <si>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</si>
  <si>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</si>
  <si>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</si>
  <si>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</si>
  <si>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</si>
  <si>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</si>
  <si>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</si>
  <si>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</si>
  <si>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</si>
  <si>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</si>
  <si>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</si>
  <si>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</si>
  <si>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</si>
  <si>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</si>
  <si>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</si>
  <si>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</si>
  <si>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</si>
  <si>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</si>
  <si>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</si>
  <si>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</si>
  <si>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</si>
  <si>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</si>
  <si>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</si>
  <si>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</si>
  <si>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</si>
  <si>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</si>
  <si>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</si>
  <si>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</si>
  <si>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</si>
  <si>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</si>
  <si>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</si>
  <si>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</si>
  <si>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</si>
  <si>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</si>
  <si>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</si>
  <si>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</si>
  <si>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</si>
  <si>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</si>
  <si>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</si>
  <si>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</si>
  <si>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</si>
  <si>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</si>
  <si>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</si>
  <si>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</si>
  <si>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</si>
  <si>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</si>
  <si>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</si>
  <si>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</si>
  <si>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</si>
  <si>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</si>
  <si>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</si>
  <si>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</si>
  <si>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</si>
  <si>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</si>
  <si>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</si>
  <si>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</si>
  <si>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</si>
  <si>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</si>
  <si>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</si>
  <si>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</si>
  <si>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</si>
  <si>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</si>
  <si>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</si>
  <si>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</si>
  <si>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</si>
  <si>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</si>
  <si>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</si>
  <si>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</si>
  <si>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</si>
  <si>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</si>
  <si>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</si>
  <si>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</si>
  <si>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</si>
  <si>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</si>
  <si>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</si>
  <si>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</si>
  <si>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</si>
  <si>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</si>
  <si>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</si>
  <si>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</si>
  <si>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</si>
  <si>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</si>
  <si>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</si>
  <si>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</si>
  <si>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</si>
  <si>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</si>
  <si>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</si>
  <si>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</si>
  <si>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</si>
  <si>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</si>
  <si>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</si>
  <si>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</si>
  <si>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</si>
  <si>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</si>
  <si>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</si>
  <si>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</si>
  <si>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</si>
  <si>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</si>
  <si>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</si>
  <si>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</si>
  <si>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</si>
  <si>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</si>
  <si>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</si>
  <si>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</si>
  <si>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</si>
  <si>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</si>
  <si>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</si>
  <si>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</si>
  <si>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</si>
  <si>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</si>
  <si>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</si>
  <si>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</si>
  <si>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</si>
  <si>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</si>
  <si>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</si>
  <si>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</si>
  <si>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</si>
  <si>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</si>
  <si>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</si>
  <si>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</si>
  <si>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</si>
  <si>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</si>
  <si>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</si>
  <si>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</si>
  <si>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</si>
  <si>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</si>
  <si>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</si>
  <si>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</si>
  <si>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</si>
  <si>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</si>
  <si>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</si>
  <si>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</si>
  <si>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</si>
  <si>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</si>
  <si>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</si>
  <si>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</si>
  <si>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</si>
  <si>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</si>
  <si>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</si>
  <si>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</si>
  <si>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</si>
  <si>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</si>
  <si>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</si>
  <si>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</si>
  <si>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</si>
  <si>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</si>
  <si>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</si>
  <si>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</si>
  <si>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</si>
  <si>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</si>
  <si>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</si>
  <si>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</si>
  <si>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</si>
  <si>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</si>
  <si>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</si>
  <si>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</si>
  <si>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</si>
  <si>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</si>
  <si>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</si>
  <si>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</si>
  <si>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</si>
  <si>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</si>
  <si>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</si>
  <si>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</si>
  <si>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</si>
  <si>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</si>
  <si>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</si>
  <si>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</si>
  <si>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</si>
  <si>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</si>
  <si>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</si>
  <si>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</si>
  <si>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</si>
  <si>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</si>
  <si>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</si>
  <si>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</si>
  <si>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</si>
  <si>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</si>
  <si>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</si>
  <si>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</si>
  <si>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</si>
  <si>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</si>
  <si>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</si>
  <si>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</si>
  <si>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</si>
  <si>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</si>
  <si>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</si>
  <si>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</si>
  <si>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</si>
  <si>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</si>
  <si>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</si>
  <si>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</si>
  <si>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</si>
  <si>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</si>
  <si>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</si>
  <si>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</si>
  <si>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</si>
  <si>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</si>
  <si>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</si>
  <si>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</si>
  <si>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</si>
  <si>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</si>
  <si>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</si>
  <si>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</si>
  <si>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</si>
  <si>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</si>
  <si>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</si>
  <si>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</si>
  <si>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</si>
  <si>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</si>
  <si>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</si>
  <si>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</si>
  <si>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</si>
  <si>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</si>
  <si>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</si>
  <si>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</si>
  <si>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</si>
  <si>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</si>
  <si>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</si>
  <si>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</si>
  <si>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</si>
  <si>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</si>
  <si>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</si>
  <si>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</si>
  <si>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</si>
  <si>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</si>
  <si>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</si>
  <si>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</si>
  <si>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</si>
  <si>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</si>
  <si>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</si>
  <si>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</si>
  <si>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</si>
  <si>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</si>
  <si>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</si>
  <si>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</si>
  <si>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</si>
  <si>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</si>
  <si>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</si>
  <si>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</si>
  <si>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</si>
  <si>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</si>
  <si>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</si>
  <si>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</si>
  <si>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</si>
  <si>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</si>
  <si>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</si>
  <si>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</si>
  <si>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</si>
  <si>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</si>
  <si>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</si>
  <si>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</si>
  <si>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</si>
  <si>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</si>
  <si>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</si>
  <si>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</si>
  <si>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</si>
  <si>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</si>
  <si>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</si>
  <si>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</si>
  <si>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</si>
  <si>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</si>
  <si>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</si>
  <si>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</si>
  <si>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</si>
  <si>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</si>
  <si>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</si>
  <si>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</si>
  <si>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</si>
  <si>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</si>
  <si>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</si>
  <si>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</si>
  <si>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</si>
  <si>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</si>
  <si>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</si>
  <si>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</si>
  <si>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</si>
  <si>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</si>
  <si>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</si>
  <si>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</si>
  <si>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</si>
  <si>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</si>
  <si>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</si>
  <si>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</si>
  <si>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</si>
  <si>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</si>
  <si>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</si>
  <si>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</si>
  <si>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</si>
  <si>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</si>
  <si>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</si>
  <si>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</si>
  <si>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</si>
  <si>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</si>
  <si>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</si>
  <si>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</si>
  <si>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</si>
  <si>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</si>
  <si>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</si>
  <si>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</si>
  <si>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</si>
  <si>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</si>
  <si>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</si>
  <si>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</si>
  <si>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</si>
  <si>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</si>
  <si>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</si>
  <si>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</si>
  <si>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</si>
  <si>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</si>
  <si>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</si>
  <si>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</si>
  <si>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</si>
  <si>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</si>
  <si>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</si>
  <si>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</si>
  <si>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</si>
  <si>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</si>
  <si>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</si>
  <si>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</si>
  <si>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</si>
  <si>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</si>
  <si>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</si>
  <si>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</si>
  <si>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</si>
  <si>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</si>
  <si>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</si>
  <si>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</si>
  <si>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</si>
  <si>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</si>
  <si>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</si>
  <si>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</si>
  <si>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</si>
  <si>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</si>
  <si>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</si>
  <si>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</si>
  <si>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</si>
  <si>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</si>
  <si>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</si>
  <si>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</si>
  <si>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</si>
  <si>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</si>
  <si>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</si>
  <si>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</si>
  <si>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</si>
  <si>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</si>
  <si>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</si>
  <si>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</si>
  <si>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</si>
  <si>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</si>
  <si>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</si>
  <si>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</si>
  <si>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</si>
  <si>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</si>
  <si>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</si>
  <si>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</si>
  <si>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</si>
  <si>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</si>
  <si>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</si>
  <si>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</si>
  <si>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</si>
  <si>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</si>
  <si>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</si>
  <si>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</si>
  <si>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</si>
  <si>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</si>
  <si>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</si>
  <si>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</si>
  <si>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</si>
  <si>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</si>
  <si>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</si>
  <si>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</si>
  <si>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</si>
  <si>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</si>
  <si>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</si>
  <si>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</si>
  <si>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</si>
  <si>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</si>
  <si>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</si>
  <si>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</si>
  <si>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</si>
  <si>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</si>
  <si>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</si>
  <si>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</si>
  <si>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</si>
  <si>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</si>
  <si>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</si>
  <si>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</si>
  <si>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</si>
  <si>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</si>
  <si>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</si>
  <si>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</si>
  <si>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</si>
  <si>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</si>
  <si>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</si>
  <si>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</si>
  <si>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</si>
  <si>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</si>
  <si>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</si>
  <si>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</si>
  <si>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</si>
  <si>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</si>
  <si>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</si>
  <si>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</si>
  <si>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</si>
  <si>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</si>
  <si>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</si>
  <si>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</si>
  <si>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</si>
  <si>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</si>
  <si>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</si>
  <si>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</si>
  <si>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</si>
  <si>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</si>
  <si>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</si>
  <si>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</si>
  <si>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</si>
  <si>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</si>
  <si>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</si>
  <si>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</si>
  <si>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</si>
  <si>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</si>
  <si>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</si>
  <si>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</si>
  <si>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</si>
  <si>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</si>
  <si>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</si>
  <si>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</si>
  <si>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</si>
  <si>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</si>
  <si>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</si>
  <si>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</si>
  <si>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</si>
  <si>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</si>
  <si>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</si>
  <si>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</si>
  <si>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</si>
  <si>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</si>
  <si>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</si>
  <si>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</si>
  <si>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</si>
  <si>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</si>
  <si>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</si>
  <si>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</si>
  <si>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</si>
  <si>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</si>
  <si>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</si>
  <si>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</si>
  <si>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</si>
  <si>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</si>
  <si>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</si>
  <si>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</si>
  <si>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</si>
  <si>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</si>
  <si>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</si>
  <si>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</si>
  <si>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</si>
  <si>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</si>
  <si>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</si>
  <si>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</si>
  <si>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</si>
  <si>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</si>
  <si>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</si>
  <si>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</si>
  <si>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</si>
  <si>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</si>
  <si>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</si>
  <si>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</si>
  <si>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</si>
  <si>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</si>
  <si>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</si>
  <si>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</si>
  <si>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</si>
  <si>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</si>
  <si>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</si>
  <si>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</si>
  <si>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</si>
  <si>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</si>
  <si>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</si>
  <si>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</si>
  <si>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</si>
  <si>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</si>
  <si>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</si>
  <si>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</si>
  <si>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</si>
  <si>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</si>
  <si>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</si>
  <si>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</si>
  <si>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</si>
  <si>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</si>
  <si>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</si>
  <si>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</si>
  <si>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</si>
  <si>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</si>
  <si>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</si>
  <si>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</si>
  <si>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</si>
  <si>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Sum of Quantity</t>
  </si>
  <si>
    <t>Sum of Amount</t>
  </si>
  <si>
    <t>Count of TX ID</t>
  </si>
  <si>
    <t>Average of Rating C</t>
  </si>
  <si>
    <t>Average of Days to Deliver</t>
  </si>
  <si>
    <t>Values for display</t>
  </si>
  <si>
    <t>Qty</t>
  </si>
  <si>
    <t>Avg.rating</t>
  </si>
  <si>
    <t>Avg.Days</t>
  </si>
  <si>
    <t>Row Labels</t>
  </si>
  <si>
    <t>Grand Total</t>
  </si>
  <si>
    <t>Column Labels</t>
  </si>
  <si>
    <t>Female</t>
  </si>
  <si>
    <t>Male</t>
  </si>
  <si>
    <t>Unknown</t>
  </si>
  <si>
    <t>Others</t>
  </si>
  <si>
    <t>6 to 10</t>
  </si>
  <si>
    <t>11 to 87</t>
  </si>
  <si>
    <t>KPI</t>
  </si>
  <si>
    <t>Trend analysis</t>
  </si>
  <si>
    <t>Quantity Analysis</t>
  </si>
  <si>
    <t>Popular Product</t>
  </si>
  <si>
    <t>Popula product by consumer gender</t>
  </si>
  <si>
    <t>map chart</t>
  </si>
  <si>
    <t>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</si>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</sst>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 #,##0"/>
    <numFmt numFmtId="166"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1" xfId="0" applyBorder="1" applyAlignment="1">
      <alignment vertical="center"/>
    </xf>
    <xf numFmtId="166" fontId="0" fillId="0" borderId="1" xfId="0" applyNumberFormat="1" applyBorder="1" applyAlignment="1">
      <alignment vertical="center"/>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CC9900"/>
      <color rgb="FFFF9900"/>
      <color rgb="FF0B41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 TRend</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Last</a:t>
            </a:r>
            <a:r>
              <a:rPr lang="en-IN" sz="1000" baseline="0"/>
              <a:t> 13 week Trends- Qty $ amount</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Pivot!$B$13:$B$26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912-4D40-9579-603DA8D0E303}"/>
            </c:ext>
          </c:extLst>
        </c:ser>
        <c:dLbls>
          <c:showLegendKey val="0"/>
          <c:showVal val="0"/>
          <c:showCatName val="0"/>
          <c:showSerName val="0"/>
          <c:showPercent val="0"/>
          <c:showBubbleSize val="0"/>
        </c:dLbls>
        <c:marker val="1"/>
        <c:smooth val="0"/>
        <c:axId val="1465098895"/>
        <c:axId val="1470009743"/>
      </c:lineChart>
      <c:lineChart>
        <c:grouping val="standard"/>
        <c:varyColors val="0"/>
        <c:ser>
          <c:idx val="1"/>
          <c:order val="1"/>
          <c:tx>
            <c:strRef>
              <c:f>Pivot!$C$12</c:f>
              <c:strCache>
                <c:ptCount val="1"/>
                <c:pt idx="0">
                  <c:v>Sum of Amount</c:v>
                </c:pt>
              </c:strCache>
            </c:strRef>
          </c:tx>
          <c:spPr>
            <a:ln w="28575" cap="rnd">
              <a:solidFill>
                <a:schemeClr val="accent4"/>
              </a:solidFill>
              <a:round/>
            </a:ln>
            <a:effectLst/>
          </c:spPr>
          <c:marker>
            <c:symbol val="none"/>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Pivot!$C$13:$C$26</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912-4D40-9579-603DA8D0E303}"/>
            </c:ext>
          </c:extLst>
        </c:ser>
        <c:dLbls>
          <c:showLegendKey val="0"/>
          <c:showVal val="0"/>
          <c:showCatName val="0"/>
          <c:showSerName val="0"/>
          <c:showPercent val="0"/>
          <c:showBubbleSize val="0"/>
        </c:dLbls>
        <c:marker val="1"/>
        <c:smooth val="0"/>
        <c:axId val="1463272191"/>
        <c:axId val="1469976143"/>
      </c:lineChart>
      <c:catAx>
        <c:axId val="146509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09743"/>
        <c:crosses val="autoZero"/>
        <c:auto val="1"/>
        <c:lblAlgn val="ctr"/>
        <c:lblOffset val="100"/>
        <c:noMultiLvlLbl val="0"/>
      </c:catAx>
      <c:valAx>
        <c:axId val="147000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98895"/>
        <c:crosses val="autoZero"/>
        <c:crossBetween val="between"/>
      </c:valAx>
      <c:valAx>
        <c:axId val="1469976143"/>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72191"/>
        <c:crosses val="max"/>
        <c:crossBetween val="between"/>
      </c:valAx>
      <c:catAx>
        <c:axId val="1463272191"/>
        <c:scaling>
          <c:orientation val="minMax"/>
        </c:scaling>
        <c:delete val="1"/>
        <c:axPos val="b"/>
        <c:numFmt formatCode="General" sourceLinked="1"/>
        <c:majorTickMark val="out"/>
        <c:minorTickMark val="none"/>
        <c:tickLblPos val="nextTo"/>
        <c:crossAx val="14699761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[ecommerce-blank(AutoRecovered).xlsx]Pivot!PivotQuantity</c:name>
    <c:fmtId val="2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u="none" strike="noStrike" baseline="0">
                <a:effectLst/>
              </a:rPr>
              <a:t>How many they buy? </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c:f>
              <c:strCache>
                <c:ptCount val="1"/>
                <c:pt idx="0">
                  <c:v>Total</c:v>
                </c:pt>
              </c:strCache>
            </c:strRef>
          </c:tx>
          <c:spPr>
            <a:solidFill>
              <a:schemeClr val="accent6">
                <a:lumMod val="50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Pivot!$A$34:$A$41</c:f>
              <c:strCache>
                <c:ptCount val="7"/>
                <c:pt idx="0">
                  <c:v>1</c:v>
                </c:pt>
                <c:pt idx="1">
                  <c:v>2</c:v>
                </c:pt>
                <c:pt idx="2">
                  <c:v>3</c:v>
                </c:pt>
                <c:pt idx="3">
                  <c:v>4</c:v>
                </c:pt>
                <c:pt idx="4">
                  <c:v>5</c:v>
                </c:pt>
                <c:pt idx="5">
                  <c:v>6 to 10</c:v>
                </c:pt>
                <c:pt idx="6">
                  <c:v>11 to 87</c:v>
                </c:pt>
              </c:strCache>
            </c:strRef>
          </c:cat>
          <c:val>
            <c:numRef>
              <c:f>Pivot!$B$34:$B$41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4B6-4114-8E63-395FA214CD73}"/>
            </c:ext>
          </c:extLst>
        </c:ser>
        <c:dLbls>
          <c:dLblPos val="outEnd"/>
          <c:showLegendKey val="0"/>
          <c:showVal val="1"/>
          <c:showCatName val="0"/>
          <c:showSerName val="0"/>
          <c:showPercent val="0"/>
          <c:showBubbleSize val="0"/>
        </c:dLbls>
        <c:gapWidth val="0"/>
        <c:overlap val="-27"/>
        <c:axId val="1463281935"/>
        <c:axId val="1470037583"/>
      </c:barChart>
      <c:catAx>
        <c:axId val="146328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37583"/>
        <c:crosses val="autoZero"/>
        <c:auto val="1"/>
        <c:lblAlgn val="ctr"/>
        <c:lblOffset val="100"/>
        <c:noMultiLvlLbl val="0"/>
      </c:catAx>
      <c:valAx>
        <c:axId val="147003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8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[ecommerce-blank(AutoRecovered).xlsx]Pivot!PivotProduct</c:name>
    <c:fmtId val="41"/>
  </c:pivotSource>
  <c:chart>
    <c:title>
      <c:tx>
        <c:rich>
          <a:bodyPr rot="0" spcFirstLastPara="1" vertOverflow="ellipsis" vert="horz" wrap="square" anchor="ctr" anchorCtr="1"/>
          <a:lstStyle/>
          <a:p>
            <a:pPr algn="ctr" rtl="0">
              <a:defRPr sz="1000" b="0" i="0" u="none" strike="noStrike" kern="1200" spc="0" baseline="0">
                <a:solidFill>
                  <a:schemeClr val="tx1">
                    <a:lumMod val="65000"/>
                    <a:lumOff val="35000"/>
                  </a:schemeClr>
                </a:solidFill>
                <a:latin typeface="+mn-lt"/>
                <a:ea typeface="+mn-ea"/>
                <a:cs typeface="+mn-cs"/>
              </a:defRPr>
            </a:pPr>
            <a:r>
              <a:rPr lang="en-IN" sz="1000" b="0"/>
              <a:t>Which products are </a:t>
            </a:r>
            <a:r>
              <a:rPr lang="en-IN" sz="1000" b="0" baseline="0"/>
              <a:t> </a:t>
            </a:r>
            <a:r>
              <a:rPr lang="en-IN" sz="1000" b="0"/>
              <a:t>popular?Breakdown by Gender</a:t>
            </a:r>
          </a:p>
        </c:rich>
      </c:tx>
      <c:layout>
        <c:manualLayout>
          <c:xMode val="edge"/>
          <c:yMode val="edge"/>
          <c:x val="2.4802702140261569E-2"/>
          <c:y val="2.0790020790020791E-2"/>
        </c:manualLayout>
      </c:layout>
      <c:overlay val="0"/>
      <c:spPr>
        <a:noFill/>
        <a:ln>
          <a:noFill/>
        </a:ln>
        <a:effectLst/>
      </c:spPr>
      <c:txPr>
        <a:bodyPr rot="0" spcFirstLastPara="1" vertOverflow="ellipsis" vert="horz" wrap="square" anchor="ctr" anchorCtr="1"/>
        <a:lstStyle/>
        <a:p>
          <a:pPr algn="ctr" rtl="0">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Pivot!$B$47:$B$48</c:f>
              <c:strCache>
                <c:ptCount val="1"/>
                <c:pt idx="0">
                  <c:v>Female</c:v>
                </c:pt>
              </c:strCache>
            </c:strRef>
          </c:tx>
          <c:spPr>
            <a:solidFill>
              <a:schemeClr val="tx2">
                <a:lumMod val="75000"/>
                <a:lumOff val="25000"/>
              </a:schemeClr>
            </a:solidFill>
            <a:ln>
              <a:noFill/>
            </a:ln>
            <a:effectLst/>
          </c:spPr>
          <c:invertIfNegative val="0"/>
          <c:cat>
            <c:strRef>
              <c:f>Pivot!$A$49:$A$69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Pivot!$B$49:$B$69</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EF1-455A-8651-0EAB0AFA13D9}"/>
            </c:ext>
          </c:extLst>
        </c:ser>
        <c:ser>
          <c:idx val="1"/>
          <c:order val="1"/>
          <c:tx>
            <c:strRef>
              <c:f>Pivot!$C$47:$C$48</c:f>
              <c:strCache>
                <c:ptCount val="1"/>
                <c:pt idx="0">
                  <c:v>Male</c:v>
                </c:pt>
              </c:strCache>
            </c:strRef>
          </c:tx>
          <c:spPr>
            <a:solidFill>
              <a:schemeClr val="accent4"/>
            </a:solidFill>
            <a:ln>
              <a:noFill/>
            </a:ln>
            <a:effectLst/>
          </c:spPr>
          <c:invertIfNegative val="0"/>
          <c:cat>
            <c:strRef>
              <c:f>Pivot!$A$49:$A$69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Pivot!$C$49:$C$69</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7BB5-4B80-BBFE-05D7F94D8BB7}"/>
            </c:ext>
          </c:extLst>
        </c:ser>
        <c:ser>
          <c:idx val="2"/>
          <c:order val="2"/>
          <c:tx>
            <c:strRef>
              <c:f>Pivot!$D$47:$D$48</c:f>
              <c:strCache>
                <c:ptCount val="1"/>
                <c:pt idx="0">
                  <c:v>Others</c:v>
                </c:pt>
              </c:strCache>
            </c:strRef>
          </c:tx>
          <c:spPr>
            <a:solidFill>
              <a:schemeClr val="accent1">
                <a:lumMod val="50000"/>
              </a:schemeClr>
            </a:solidFill>
            <a:ln>
              <a:noFill/>
            </a:ln>
            <a:effectLst/>
          </c:spPr>
          <c:invertIfNegative val="0"/>
          <c:cat>
            <c:strRef>
              <c:f>Pivot!$A$49:$A$69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Pivot!$D$49:$D$69</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7BB5-4B80-BBFE-05D7F94D8BB7}"/>
            </c:ext>
          </c:extLst>
        </c:ser>
        <c:ser>
          <c:idx val="3"/>
          <c:order val="3"/>
          <c:tx>
            <c:strRef>
              <c:f>Pivot!$E$47:$E$48</c:f>
              <c:strCache>
                <c:ptCount val="1"/>
                <c:pt idx="0">
                  <c:v>Unknown</c:v>
                </c:pt>
              </c:strCache>
            </c:strRef>
          </c:tx>
          <c:spPr>
            <a:solidFill>
              <a:srgbClr val="00B0F0"/>
            </a:solidFill>
            <a:ln>
              <a:noFill/>
            </a:ln>
            <a:effectLst/>
          </c:spPr>
          <c:invertIfNegative val="0"/>
          <c:cat>
            <c:strRef>
              <c:f>Pivot!$A$49:$A$69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Pivot!$E$49:$E$69</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7BB5-4B80-BBFE-05D7F94D8BB7}"/>
            </c:ext>
          </c:extLst>
        </c:ser>
        <c:dLbls>
          <c:showLegendKey val="0"/>
          <c:showVal val="0"/>
          <c:showCatName val="0"/>
          <c:showSerName val="0"/>
          <c:showPercent val="0"/>
          <c:showBubbleSize val="0"/>
        </c:dLbls>
        <c:gapWidth val="11"/>
        <c:overlap val="100"/>
        <c:axId val="1463752399"/>
        <c:axId val="1470043823"/>
      </c:barChart>
      <c:catAx>
        <c:axId val="146375239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43823"/>
        <c:crosses val="autoZero"/>
        <c:auto val="1"/>
        <c:lblAlgn val="ctr"/>
        <c:lblOffset val="100"/>
        <c:noMultiLvlLbl val="0"/>
      </c:catAx>
      <c:valAx>
        <c:axId val="147004382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5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[ecommerce-blank(AutoRecovered).xlsx]Pivot!PivotTable7</c:name>
    <c:fmtId val="71"/>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6">
              <a:lumMod val="50000"/>
            </a:schemeClr>
          </a:solidFill>
          <a:ln w="19050">
            <a:solidFill>
              <a:schemeClr val="lt1"/>
            </a:solidFill>
          </a:ln>
          <a:effectLst/>
        </c:spPr>
        <c:dLbl>
          <c:idx val="0"/>
          <c:layout>
            <c:manualLayout>
              <c:x val="0.23489694097409586"/>
              <c:y val="-6.55725505128287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5815873276635537"/>
                  <c:h val="0.44940655922430983"/>
                </c:manualLayout>
              </c15:layout>
            </c:ext>
          </c:extLst>
        </c:dLbl>
      </c:pivotFmt>
      <c:pivotFmt>
        <c:idx val="8"/>
        <c:spPr>
          <a:solidFill>
            <a:schemeClr val="accent4"/>
          </a:solidFill>
          <a:ln w="19050">
            <a:solidFill>
              <a:schemeClr val="lt1"/>
            </a:solidFill>
          </a:ln>
          <a:effectLst/>
        </c:spPr>
        <c:dLbl>
          <c:idx val="0"/>
          <c:layout>
            <c:manualLayout>
              <c:x val="-0.13349982249999667"/>
              <c:y val="-3.91561880724565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5758533102498327"/>
                  <c:h val="0.38513682200487842"/>
                </c:manualLayout>
              </c15:layout>
            </c:ext>
          </c:extLst>
        </c:dLbl>
      </c:pivotFmt>
      <c:pivotFmt>
        <c:idx val="9"/>
        <c:spPr>
          <a:solidFill>
            <a:srgbClr val="00B050"/>
          </a:solidFill>
          <a:ln w="19050">
            <a:solidFill>
              <a:schemeClr val="lt1"/>
            </a:solidFill>
          </a:ln>
          <a:effectLst/>
        </c:spPr>
        <c:dLbl>
          <c:idx val="0"/>
          <c:layout>
            <c:manualLayout>
              <c:x val="-3.6797227452516651E-2"/>
              <c:y val="-0.1599852567584436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50995870875614469"/>
                  <c:h val="0.22446247895629995"/>
                </c:manualLayout>
              </c15:layout>
            </c:ext>
          </c:extLst>
        </c:dLbl>
      </c:pivotFmt>
      <c:pivotFmt>
        <c:idx val="10"/>
        <c:spPr>
          <a:solidFill>
            <a:srgbClr val="00B0F0"/>
          </a:solidFill>
          <a:ln w="19050">
            <a:solidFill>
              <a:schemeClr val="lt1"/>
            </a:solidFill>
          </a:ln>
          <a:effectLst/>
        </c:spPr>
        <c:dLbl>
          <c:idx val="0"/>
          <c:layout>
            <c:manualLayout>
              <c:x val="0.22512020901520224"/>
              <c:y val="-6.78543354239272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Pivot!$J$47</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3EAF-4C30-B375-0A22985B2B0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EAF-4C30-B375-0A22985B2B0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3EAF-4C30-B375-0A22985B2B08}"/>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EAF-4C30-B375-0A22985B2B08}"/>
              </c:ext>
            </c:extLst>
          </c:dPt>
          <c:dLbls>
            <c:dLbl>
              <c:idx val="0"/>
              <c:layout>
                <c:manualLayout>
                  <c:x val="0.23489694097409586"/>
                  <c:y val="-6.5572550512828787E-3"/>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815873276635537"/>
                      <c:h val="0.44940655922430983"/>
                    </c:manualLayout>
                  </c15:layout>
                </c:ext>
                <c:ext xmlns:c16="http://schemas.microsoft.com/office/drawing/2014/chart" uri="{C3380CC4-5D6E-409C-BE32-E72D297353CC}">
                  <c16:uniqueId val="{00000001-3EAF-4C30-B375-0A22985B2B08}"/>
                </c:ext>
              </c:extLst>
            </c:dLbl>
            <c:dLbl>
              <c:idx val="1"/>
              <c:layout>
                <c:manualLayout>
                  <c:x val="-0.13349982249999667"/>
                  <c:y val="-3.9156188072456584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758533102498327"/>
                      <c:h val="0.38513682200487842"/>
                    </c:manualLayout>
                  </c15:layout>
                </c:ext>
                <c:ext xmlns:c16="http://schemas.microsoft.com/office/drawing/2014/chart" uri="{C3380CC4-5D6E-409C-BE32-E72D297353CC}">
                  <c16:uniqueId val="{00000003-3EAF-4C30-B375-0A22985B2B08}"/>
                </c:ext>
              </c:extLst>
            </c:dLbl>
            <c:dLbl>
              <c:idx val="2"/>
              <c:layout>
                <c:manualLayout>
                  <c:x val="-3.6797227452516651E-2"/>
                  <c:y val="-0.15998525675844363"/>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50995870875614469"/>
                      <c:h val="0.22446247895629995"/>
                    </c:manualLayout>
                  </c15:layout>
                </c:ext>
                <c:ext xmlns:c16="http://schemas.microsoft.com/office/drawing/2014/chart" uri="{C3380CC4-5D6E-409C-BE32-E72D297353CC}">
                  <c16:uniqueId val="{00000005-3EAF-4C30-B375-0A22985B2B08}"/>
                </c:ext>
              </c:extLst>
            </c:dLbl>
            <c:dLbl>
              <c:idx val="3"/>
              <c:layout>
                <c:manualLayout>
                  <c:x val="0.22512020901520224"/>
                  <c:y val="-6.785433542392722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EAF-4C30-B375-0A22985B2B08}"/>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Pivot!$I$48:$I$52</c:f>
              <c:strCache>
                <c:ptCount val="4"/>
                <c:pt idx="0">
                  <c:v>Female</c:v>
                </c:pt>
                <c:pt idx="1">
                  <c:v>Male</c:v>
                </c:pt>
                <c:pt idx="2">
                  <c:v>Others</c:v>
                </c:pt>
                <c:pt idx="3">
                  <c:v>Unknown</c:v>
                </c:pt>
              </c:strCache>
            </c:strRef>
          </c:cat>
          <c:val>
            <c:numRef>
              <c:f>Pivot!$J$48:$J$52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EAF-4C30-B375-0A22985B2B08}"/>
            </c:ext>
          </c:extLst>
        </c:ser>
        <c:dLbls>
          <c:showLegendKey val="0"/>
          <c:showVal val="1"/>
          <c:showCatName val="0"/>
          <c:showSerName val="0"/>
          <c:showPercent val="0"/>
          <c:showBubbleSize val="0"/>
          <c:showLeaderLines val="1"/>
        </c:dLbls>
        <c:firstSliceAng val="5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[ecommerce-blank(AutoRecovered).xlsx]Pivot!Pivotdaytodeliver</c:name>
    <c:fmtId val="4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u="none" strike="noStrike" baseline="0">
                <a:effectLst/>
              </a:rPr>
              <a:t>How long we take to ship the orders </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Pivot!$B$138</c:f>
              <c:strCache>
                <c:ptCount val="1"/>
                <c:pt idx="0">
                  <c:v>Total</c:v>
                </c:pt>
              </c:strCache>
            </c:strRef>
          </c:tx>
          <c:spPr>
            <a:solidFill>
              <a:schemeClr val="tx2">
                <a:lumMod val="75000"/>
                <a:lumOff val="25000"/>
              </a:schemeClr>
            </a:solidFill>
            <a:ln>
              <a:noFill/>
            </a:ln>
            <a:effectLst/>
          </c:spPr>
          <c:invertIfNegative val="0"/>
          <c:cat>
            <c:strRef>
              <c:f>Pivot!$A$139:$A$154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Pivot!$B$139:$B$154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502-4C91-A5F5-C627E0C5CB39}"/>
            </c:ext>
          </c:extLst>
        </c:ser>
        <c:dLbls>
          <c:showLegendKey val="0"/>
          <c:showVal val="0"/>
          <c:showCatName val="0"/>
          <c:showSerName val="0"/>
          <c:showPercent val="0"/>
          <c:showBubbleSize val="0"/>
        </c:dLbls>
        <c:gapWidth val="18"/>
        <c:overlap val="44"/>
        <c:axId val="1328022544"/>
        <c:axId val="1247417520"/>
      </c:barChart>
      <c:catAx>
        <c:axId val="1328022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17520"/>
        <c:crosses val="autoZero"/>
        <c:auto val="1"/>
        <c:lblAlgn val="ctr"/>
        <c:lblOffset val="100"/>
        <c:noMultiLvlLbl val="0"/>
      </c:catAx>
      <c:valAx>
        <c:axId val="124741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2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[ecommerce-blank(AutoRecovered).xlsx]Pivot!Pivotrating</c:name>
    <c:fmtId val="47"/>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u="none" strike="noStrike" baseline="0">
                <a:effectLst/>
              </a:rPr>
              <a:t>How happy are our customers? </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Pivot!$B$159:$B$160</c:f>
              <c:strCache>
                <c:ptCount val="1"/>
                <c:pt idx="0">
                  <c:v>1</c:v>
                </c:pt>
              </c:strCache>
            </c:strRef>
          </c:tx>
          <c:spPr>
            <a:solidFill>
              <a:schemeClr val="accent1"/>
            </a:solidFill>
            <a:ln>
              <a:noFill/>
            </a:ln>
            <a:effectLst/>
          </c:spPr>
          <c:invertIfNegative val="0"/>
          <c:cat>
            <c:strRef>
              <c:f>Pivot!$A$161:$A$164</c:f>
              <c:strCache>
                <c:ptCount val="3"/>
                <c:pt idx="0">
                  <c:v>Jan</c:v>
                </c:pt>
                <c:pt idx="1">
                  <c:v>Feb</c:v>
                </c:pt>
                <c:pt idx="2">
                  <c:v>Mar</c:v>
                </c:pt>
              </c:strCache>
            </c:strRef>
          </c:cat>
          <c:val>
            <c:numRef>
              <c:f>Pivot!$B$161:$B$164</c:f>
              <c:numCache>
                <c:formatCode>General</c:formatCode>
                <c:ptCount val="3"/>
                <c:pt idx="0">
                  <c:v>7</c:v>
                </c:pt>
                <c:pt idx="1">
                  <c:v>8</c:v>
                </c:pt>
                <c:pt idx="2">
                  <c:v>6</c:v>
                </c:pt>
              </c:numCache>
            </c:numRef>
          </c:val>
          <c:extLst>
            <c:ext xmlns:c16="http://schemas.microsoft.com/office/drawing/2014/chart" uri="{C3380CC4-5D6E-409C-BE32-E72D297353CC}">
              <c16:uniqueId val="{00000000-45F6-4CA2-B2A4-E0DAB05A2393}"/>
            </c:ext>
          </c:extLst>
        </c:ser>
        <c:ser>
          <c:idx val="1"/>
          <c:order val="1"/>
          <c:tx>
            <c:strRef>
              <c:f>Pivot!$C$159:$C$160</c:f>
              <c:strCache>
                <c:ptCount val="1"/>
                <c:pt idx="0">
                  <c:v>2</c:v>
                </c:pt>
              </c:strCache>
            </c:strRef>
          </c:tx>
          <c:spPr>
            <a:solidFill>
              <a:schemeClr val="accent2"/>
            </a:solidFill>
            <a:ln>
              <a:noFill/>
            </a:ln>
            <a:effectLst/>
          </c:spPr>
          <c:invertIfNegative val="0"/>
          <c:cat>
            <c:strRef>
              <c:f>Pivot!$A$161:$A$164</c:f>
              <c:strCache>
                <c:ptCount val="3"/>
                <c:pt idx="0">
                  <c:v>Jan</c:v>
                </c:pt>
                <c:pt idx="1">
                  <c:v>Feb</c:v>
                </c:pt>
                <c:pt idx="2">
                  <c:v>Mar</c:v>
                </c:pt>
              </c:strCache>
            </c:strRef>
          </c:cat>
          <c:val>
            <c:numRef>
              <c:f>Pivot!$C$161:$C$164</c:f>
              <c:numCache>
                <c:formatCode>General</c:formatCode>
                <c:ptCount val="3"/>
                <c:pt idx="0">
                  <c:v>37</c:v>
                </c:pt>
                <c:pt idx="1">
                  <c:v>51</c:v>
                </c:pt>
                <c:pt idx="2">
                  <c:v>39</c:v>
                </c:pt>
              </c:numCache>
            </c:numRef>
          </c:val>
          <c:extLst>
            <c:ext xmlns:c16="http://schemas.microsoft.com/office/drawing/2014/chart" uri="{C3380CC4-5D6E-409C-BE32-E72D297353CC}">
              <c16:uniqueId val="{00000001-45F6-4CA2-B2A4-E0DAB05A2393}"/>
            </c:ext>
          </c:extLst>
        </c:ser>
        <c:ser>
          <c:idx val="2"/>
          <c:order val="2"/>
          <c:tx>
            <c:strRef>
              <c:f>Pivot!$D$159:$D$160</c:f>
              <c:strCache>
                <c:ptCount val="1"/>
                <c:pt idx="0">
                  <c:v>3</c:v>
                </c:pt>
              </c:strCache>
            </c:strRef>
          </c:tx>
          <c:spPr>
            <a:solidFill>
              <a:schemeClr val="accent3"/>
            </a:solidFill>
            <a:ln>
              <a:noFill/>
            </a:ln>
            <a:effectLst/>
          </c:spPr>
          <c:invertIfNegative val="0"/>
          <c:cat>
            <c:strRef>
              <c:f>Pivot!$A$161:$A$164</c:f>
              <c:strCache>
                <c:ptCount val="3"/>
                <c:pt idx="0">
                  <c:v>Jan</c:v>
                </c:pt>
                <c:pt idx="1">
                  <c:v>Feb</c:v>
                </c:pt>
                <c:pt idx="2">
                  <c:v>Mar</c:v>
                </c:pt>
              </c:strCache>
            </c:strRef>
          </c:cat>
          <c:val>
            <c:numRef>
              <c:f>Pivot!$D$161:$D$164</c:f>
              <c:numCache>
                <c:formatCode>General</c:formatCode>
                <c:ptCount val="3"/>
                <c:pt idx="0">
                  <c:v>150</c:v>
                </c:pt>
                <c:pt idx="1">
                  <c:v>182</c:v>
                </c:pt>
                <c:pt idx="2">
                  <c:v>163</c:v>
                </c:pt>
              </c:numCache>
            </c:numRef>
          </c:val>
          <c:extLst>
            <c:ext xmlns:c16="http://schemas.microsoft.com/office/drawing/2014/chart" uri="{C3380CC4-5D6E-409C-BE32-E72D297353CC}">
              <c16:uniqueId val="{00000002-45F6-4CA2-B2A4-E0DAB05A2393}"/>
            </c:ext>
          </c:extLst>
        </c:ser>
        <c:ser>
          <c:idx val="3"/>
          <c:order val="3"/>
          <c:tx>
            <c:strRef>
              <c:f>Pivot!$E$159:$E$160</c:f>
              <c:strCache>
                <c:ptCount val="1"/>
                <c:pt idx="0">
                  <c:v>4</c:v>
                </c:pt>
              </c:strCache>
            </c:strRef>
          </c:tx>
          <c:spPr>
            <a:solidFill>
              <a:schemeClr val="accent4"/>
            </a:solidFill>
            <a:ln>
              <a:noFill/>
            </a:ln>
            <a:effectLst/>
          </c:spPr>
          <c:invertIfNegative val="0"/>
          <c:cat>
            <c:strRef>
              <c:f>Pivot!$A$161:$A$164</c:f>
              <c:strCache>
                <c:ptCount val="3"/>
                <c:pt idx="0">
                  <c:v>Jan</c:v>
                </c:pt>
                <c:pt idx="1">
                  <c:v>Feb</c:v>
                </c:pt>
                <c:pt idx="2">
                  <c:v>Mar</c:v>
                </c:pt>
              </c:strCache>
            </c:strRef>
          </c:cat>
          <c:val>
            <c:numRef>
              <c:f>Pivot!$E$161:$E$164</c:f>
              <c:numCache>
                <c:formatCode>General</c:formatCode>
                <c:ptCount val="3"/>
                <c:pt idx="0">
                  <c:v>312</c:v>
                </c:pt>
                <c:pt idx="1">
                  <c:v>373</c:v>
                </c:pt>
                <c:pt idx="2">
                  <c:v>351</c:v>
                </c:pt>
              </c:numCache>
            </c:numRef>
          </c:val>
          <c:extLst>
            <c:ext xmlns:c16="http://schemas.microsoft.com/office/drawing/2014/chart" uri="{C3380CC4-5D6E-409C-BE32-E72D297353CC}">
              <c16:uniqueId val="{00000003-45F6-4CA2-B2A4-E0DAB05A2393}"/>
            </c:ext>
          </c:extLst>
        </c:ser>
        <c:ser>
          <c:idx val="4"/>
          <c:order val="4"/>
          <c:tx>
            <c:strRef>
              <c:f>Pivot!$F$159:$F$160</c:f>
              <c:strCache>
                <c:ptCount val="1"/>
                <c:pt idx="0">
                  <c:v>5</c:v>
                </c:pt>
              </c:strCache>
            </c:strRef>
          </c:tx>
          <c:spPr>
            <a:solidFill>
              <a:schemeClr val="accent5"/>
            </a:solidFill>
            <a:ln>
              <a:noFill/>
            </a:ln>
            <a:effectLst/>
          </c:spPr>
          <c:invertIfNegative val="0"/>
          <c:cat>
            <c:strRef>
              <c:f>Pivot!$A$161:$A$164</c:f>
              <c:strCache>
                <c:ptCount val="3"/>
                <c:pt idx="0">
                  <c:v>Jan</c:v>
                </c:pt>
                <c:pt idx="1">
                  <c:v>Feb</c:v>
                </c:pt>
                <c:pt idx="2">
                  <c:v>Mar</c:v>
                </c:pt>
              </c:strCache>
            </c:strRef>
          </c:cat>
          <c:val>
            <c:numRef>
              <c:f>Pivot!$F$161:$F$164</c:f>
              <c:numCache>
                <c:formatCode>General</c:formatCode>
                <c:ptCount val="3"/>
                <c:pt idx="0">
                  <c:v>224</c:v>
                </c:pt>
                <c:pt idx="1">
                  <c:v>247</c:v>
                </c:pt>
                <c:pt idx="2">
                  <c:v>250</c:v>
                </c:pt>
              </c:numCache>
            </c:numRef>
          </c:val>
          <c:extLst>
            <c:ext xmlns:c16="http://schemas.microsoft.com/office/drawing/2014/chart" uri="{C3380CC4-5D6E-409C-BE32-E72D297353CC}">
              <c16:uniqueId val="{00000006-45F6-4CA2-B2A4-E0DAB05A2393}"/>
            </c:ext>
          </c:extLst>
        </c:ser>
        <c:dLbls>
          <c:showLegendKey val="0"/>
          <c:showVal val="0"/>
          <c:showCatName val="0"/>
          <c:showSerName val="0"/>
          <c:showPercent val="0"/>
          <c:showBubbleSize val="0"/>
        </c:dLbls>
        <c:gapWidth val="219"/>
        <c:overlap val="-27"/>
        <c:axId val="1327781264"/>
        <c:axId val="1247493360"/>
      </c:barChart>
      <c:catAx>
        <c:axId val="1327781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93360"/>
        <c:crosses val="autoZero"/>
        <c:auto val="1"/>
        <c:lblAlgn val="ctr"/>
        <c:lblOffset val="100"/>
        <c:noMultiLvlLbl val="0"/>
      </c:catAx>
      <c:valAx>
        <c:axId val="124749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8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sz="1000"/>
            </a:pPr>
            <a:r>
              <a:rPr lang="en-IN" sz="10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r>
              <a:rPr lang="en-IN" sz="1000">
                <a:effectLst/>
              </a:rPr>
              <a:t> </a:t>
            </a:r>
            <a:endParaRPr lang="en-US" sz="10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00000000-3C30-4CEE-928B-E09193003223}">
          <cx:spPr>
            <a:solidFill>
              <a:schemeClr val="accent1"/>
            </a:solidFill>
            <a:ln>
              <a:solidFill>
                <a:schemeClr val="tx1"/>
              </a:solidFill>
            </a:ln>
          </cx:spPr>
          <cx:dataId val="0"/>
          <cx:layoutPr>
            <cx:regionLabelLayout val="none"/>
            <cx:geography cultureLanguage="en-US" cultureRegion="IN" attribution="Powered by Bing">
              <cx:geoCache provider="{E9337A44-BEBE-4D9F-B70C-5C5E7DAFC167}">
                <cx:binary>7H1Zc+M40u1fqajnSzcALgAmpidiQGqzvNvlWl4YKpeLO8EFXH/9l7RdNRYl99A3Wg9X91N3dEeV
lFRShwBO5kkk/vnQ/uMhftwUH9okTst/PLR/fvSVyv7xxx/lg/+YbMqTJHgoZCl/qpMHmfwhf/4M
Hh7/+FFsmiD1/iAIG388+JtCPbYf//VPuJr3KM/kw0YFMr2uHovu5rGsYlX+xXt73/qw+ZEEqROU
qggeFP7zo72Jg5+ySIPNx+33CLwnU1VsPtiyVMN/q1R1Hz88pipQ3V2XPf75ceti5OOHP8bfuePf
hxhuQVU/wFhnJwgzznWd8qcX+/ghlqn38raGCTnBusFMiuGd56+92CRg+V6/nrza/PhRPJYl3OTT
/9+4ytYdwWf+PfFXeRh+nQEVDwD68+OnNFCPPz7cqo16LD9+CEr59PMVnS2HW/90+/Rb/bGN67/+
OfoL+PVGf/MK+vFP/d/e2kb3vyD/7xh+6B+HAJ2eMGQwwiz9GXS6CzqhxKAWPE6vMX+HR/vhHl9g
AtJjkyMD+bLYpN7jAQa2fkI5NhizjP0DG8NDYOqIWwhvgzzdo/0Yj+wnQDyyODKE/x1nQXoIhNmJ
xXXTwuZbCPMTCi/TpMY2wtM92o/wyH4CwiOLY0M42fyQxQHGMDvRYRJGhAGA26syAmgJ4TB+0fAa
DeF/T3boDYC37acAvG1xZADfbtIP58Ai5AEwpicGMyiFkfz2WkwYNrgxAvldTu3HefcSE6DeNToy
tJ3H+MOFBNb/96Nt4BNqAtpk4NzDa4d5GScEGTowrxH1epdT+9HevcQEtHeNjgxtUalDIK3zExMT
3UBvrc4En5imYWFMRuN6skP7Ud42n4DwtsGRoXsu00NM2uyEAK1i1sso3hnGmJ8QwhiniG9Tr6n+
7Md2y3oCtFufPzJkIWeyqR+LTfn3z9KQFMHcIphQ+sSuEMzFY/plMcRheFvb8L7Lqf0Y715iAtC7
RseGtoyr8hCpEBioA5AQRb0BNTlBiOkWN8wR1JM9egPnbfspIG9bHBnCs/iDIwsIpA4yninhlkle
0l0cJuXxeIb0J2RLTOvpKRityO9ybT/au5eYAPiu0ZFhDqHEkNSON08Jbkje/q2pbXqiQ/gMMfLL
Kr2T2sYnjEFkZY6H9jvd2o/4votMwHyf2ZGhPgcJ4CCszDqhOrZME+Pn4Go8zIGVUWbCP3g0l0/3
aD/WI/sJMI8sjgzhRfyYpgeYxyGmIsjEnADt2p7AQaXiDFPdHIXNkz3ZD+y2+QRctw2ODFZQ0tKg
jDfVITg3PbEMBABa+htEDAMRIwYIlSMh8n1e7cd5zzUmgL3H6sgQX1bJdxn/UH//WDYgg80sbBi7
Y9k4wRaGVZu8rNvbvPs9Lu0He+cKE6DesTkyoO8qIGEHSHjqFpAwhAl6ESoGpWJr5h4yJXygYaa+
jfN0j/ajPLKfgPHI4sgQXiXZYxFs4r9/KOsEpGbCTEPHz1M3ILmNsXliAi0zMWhZw2sUXr3Hs/1Y
71xhAto7NkeGNwQSH5zg0TtEPA2AY5OaAPoYaQpzt84w+6VmbY/pd/m0H+rdS0zAetfoyMBepd0h
cLagTogA5aYvFQY7AdWQKOWWBfP3NtBT/dmP8Zb1BHi3Pn9kyK4fi0NEUuaJTp/EqecZed+yPNQF
Yp2AQvm6BGyqP/uR3bKegOzW548NWagxPUQgBYwLhAtiGC8FBTuDlkOkZXLQHcfQTnXoDWy3zKeA
u2VwZOiebaJD0Gl+AtUBGGTFt6JkcsKxiS1GR8rUVH/2Y7tlPQHarc8fHbJl+XiAORkiYgNq+RiH
YOnpNabRBMHAZdxg1mjgnm2mevQWulv2k/Ddsjg2hGX54d9QlRs/HmJ+Nk6QSYjOfs3POxwaigsg
zWVQGObDaxQtnb3PuTcQ33ORKbDvMTsy7IdQ4awKyg+X34MyOwSpNk8IIxaGcfwE7w71GoY5sDIo
DIKV+zX1+r9wbT/6b11owhPwlumRPQXnmx9QWnKAVIl1AoUloFLQl3KDcToMwEcW7Lcx8Aj86R7t
x3xkPwHqkcXRIVwEB1jEdXrCqQG5EfRSazCe3WE/laljWML5KGQ+30x06C18X5tPgve1wRGim8mD
FAw91WvD+GUvNG08giGhzS2DMgIk/em1PYkPME/17G2kt64wEewtmyPD+9bflIfYHgmcHHbPQEZT
f6sSkJxAuhMxWNG3cZ7u0X6UR/YTMB5ZHBnC54/pD/kQHKRuhJ/A9gqoxacv+sV4SBMdigSppetD
ne9rRvYup/bjvHuJCVDvGh0Z2kAzh+FcVP1hOBg1sIGw9TxB71miYcsVsHM+HtPv8mo/3nvubALg
e6yODPHzx+IBNmvbf/sGd6gCRBa3ftfq76ANaReGOUTbxr5we7pf+/Ee2U/AemRxbDhLmMb/fphh
Y5XBEYe09sug3qkQg5XcILAZB4/qDM6nOvQGvlvmU+DdMjgydO8gpoDGFAfAF8qFQNaAwOoFX1iJ
t2oMIK7isNkKQyX/9hr9Dpf2Izy+wASMxyZHhjJsK1KPxeMBYIZyIYtalOrohW/v5MDxiWVawMjH
rSne49N+nHeuMAHoHZsjQ/pikx0iCwYZbg4KJUiQzynQHZQJ5EiH4cxG5bxT/dmP8Jb1BHS3Pn9s
yD7Wm4P0loF6PotQpqOXDOcOtlDHC8lvWIlH7PpiskdvoLttPwXfbYsjQ/g2eCwOksOGKnwL6VCe
+0yY0Q7C6ATeRMC4nx+B0YI83a/9OI/sJ+A8sjgynG8C2AZbBj8OUW6gn3CGTF1/qRLa0aqgiZAO
m2ShlGQkV7zLqf04715iAtS7RkeG9lW8eXg8TK8Z2K4+7IF87iizO6ph3qZDiS95zpqMAJ/u1360
R/YToB5ZHBnOd4/+JjkA94KMNpRhW1CC8MYmOQikYF87hs4UzwLHaPae7td+nEf2E3AeWRwZzrdB
GQWdrA4QMkOvGR0Dhf7V5Q9G7DhktmC/lQmC83bI/B6f9qO8c4UJOO/YHBnSV3EFLUf/fpyh0wzX
LQq7219G9E5qBEFqhEFuTB9te53u0X6UR/YTMB5ZHBnCt5uHAlp2puoQZUMMlEjo9wdVQ8/r7w7K
QwZ0+AfKuofXaN5+n2/78d5zjQmY77E6OtzTD+IREp+HwB32YJhkaCX1Rjk39JEyEEGwlXIUTw+l
WtO9egvxnWtMQnzH6igRL9JN8eMwkjTsgYWuM7CP6qXOexxjQ+BFIEEGjH20dD+B/h7H/gr4netM
Bn/H8ggfgDm07n0Iygf5C4K/ox83hW3RCFHYUfU7zBqTNgMak5tM34P8b4+msIy3gd+9zETcdw2P
EPZTucmrQ9UOgsBlEAD46TUe9DDVEw4bezjfn1iDsf8O597Gf3yRieiPzY4N+6FR5CEyL1B+pBMC
7eZe+PtOhQJoXsAAAPfxCj/Zozew3rafAvO2xbEh/FTfIzbF98M0pDJOYGQPpb9vpF6gdNTiDJIv
0G7u6fVrYXk+ceG5COgd7r2B+t67nAL+XsNjewZkvDlIkeHQMhSyq4O2/fSC+Gy8sCODg2Syw+Mn
e/QG3tv2U4Detjg6hFN5iMwqdA01dG6BsP1W7cJT2wTLgN0do4ENTWqnefQWwlv2kxDesjgyhO8q
6JSZHOTMBdjewSDwgrX4jVGMoB6cYMzIKKf6Hp/2o7xzhQk479gcGdL3kGyrDiJyQx92kLB19Na5
SE99i0ANs9BoH887XNqP8/gCE2AemxwZyl9lfIjMGpyfQqGzCZQZjZdiUE4o7L+FNmTbE/VUR/YD
u2U9AdWtzx8bpNX3zZQkxTtPMxt2cmBoNAWN159eO427oek+tEZgUEA4QnaiP28g+9p6CrKvP///
ALJ/7eLWDQ9nmv3712+7JyH23vPpIM8JpyRYEDLtX3CHmAkD5QLc98VM0Bj998l6zzt39vm0H9XX
tlv3+HyLf/2jHOa0ubdPovt9yJ+zUZvZ0/GArw6j++t3n24fzjYcmb5sddrzg/2uylz9+PMj1HDq
ELWAHvX75MHhQlsbpW6fGO6vx2Lb6hG27v358emkQWh6AHtnGZw2aEAy5OOH5vHlLR02zeo6g63T
EB4xChN2Cge0+E/nF4I8MnTFgCdAhwM1wI1SVi9vQT9RAtcyLKgmRVAx/OtGr2TceTL9/au8/PlD
WiVXMkhV+edH2BPy8UP2/LnB36GWzYB0uwG0AKobGR0IXvawuRma2MCP8H+iNIuzCIXoEqSawp+b
rC9sqJyqHoqwmtVG1AqUuNFSc1Vqh5jfu6r2hVv4uQNHSXxXSXxLk4YLgogDWRYk3Cz4XmloVdb5
WaSFnl2YRSiCvHZcq1bzSMffGtp6i5I05TrJ81Vee7beB5e60laJz8/LqBO4KLlduWFu110vBS3Z
Mg3CWd9oDtWVoxoLDkXU+qvIqlw7DpoboquvPKCabUbpdRdpWMhMu9P8oLDdOixFHgRzz7XWcfgl
DrpvjYcqEZrhTVmESBR5aePEXCcoj2dhny46Kck5yoxLP+gNAedprnszu6jTas1K90fGm3VArG+k
s6Jro81r20vd88ZQvvCI9rUpzFkJZHpTdLITTcScvizuA4J+eDT0RZPpuW3F8aeWaj8qs4Ybifky
ith5F3v+DMM9uCg6D/psU4aynNduFMyaTiW2T3JzkZruym39XBQs+dRl7mVZNd8SS0kRUXLWsnyh
jEgKniSpqBmes9Jb5K55GZFMF2bTL6sGI7vr+X1o8XnVmOdN7S+QYrVdsvA6TZBh12l7xsr+rCkZ
mjVu9iXwTd2uSR6KnEf3edlREUXqi9k368bKC6HK5KdkxTnBunfmR94F9w3fSZU1a8pK2ViRZeny
QpS5d0fiYoUyP7AZVfy0sapsRiz/R+rRW8/tFlXUtLNEJqedJFhUuvbYGtm6t9K5FarP8HfLVJqF
MGrGZpIEpfBDdZWWYXzG2+TOOpM4igWniWPBeHJ83fUdWpU/E5wvQ1osrDr3beDe3hw+eI6rfJbJ
KhEoqmtRa+UtrotFaEZfjQ4vuFd5ImPmugwpt5WUhpOmyXUV+t08L6O5ofrY7t161vk0ExBEMzvq
i/OMx6UIE1fNSKcviCfXkWnMY171IuLFtRE1p6GvQtsvuouCw29vuGvVm0poLKDdQ+XJ4rOfKt3x
PZ4wYcmU3pAMSL0nWJFo1yjj+U3ZeUm8wG0wVzqaR5pviYq4PyOvfXRNjmxfxnaKcnpK0/a+tIrv
KqpykUl5TT2+0PzoGmfxirHEtCFr52QttUOd1k4Qo2LOTHWB9diAm8tmOaWa0NtwKVVrzHzXaASP
aW+HdZnYWZA4SrZz3eo2rUWcvG2/MZfNEO8+AdC+YKG26gLtLM39hR9pq5RLYUXY9sLY4Zq7DJNu
HrHUEy3LRGf0p3qmPuO8cHyz8xyStPM6YZ7Qg/CMBnlkq4gI3tJFwy2RZAkAcq+KcNG11bxijV0n
1SrQXE9EKXW6pHT8gH9JwjASZeGf1RnHTp8HfN4mViX6KF3yHF3oij+UjQGDoLO7lmazyOCOnnXn
RhWumkLPREJQsSZNA9iawtWqZVUWD1VRX4Ytc8rQuEOBlwjeFWd9RC1hmOnMiGAUIuaLvMV8jiN0
a1buY26V8HTWyUpxj9klrZfYo62t5ebS0JMrF/X12s8CEQYmEyyobd+ozhuarlstTUUSxbbhsa+x
XgllsWWVGqLo0ILT6iqw6s+IZCvXaOdWjegsCmOY/9pUE5klb/SKKzvoi0sDeaLzwmUME2AW1Beu
1d/lUoqcqGuXVKdFXgsrN2vR8s7pezK3rGKma3glZVk7pUx7mIX1OTfVGqX9nKVGbfNOE3mGvsdu
SYQi1Tc9YLHdEFNfYepd4bQTmedd456dcdbVdt9rwdzqm1NkRTaVjW9HmRfOEi3gK90zqwX32ys9
1uZR3F1Bm92fOunnaZI5paVmZcG0eRDkqd1o6rJT2ZWi7FMbVL6dmGZlt4nJZ21I4i+R7naOl9U/
w7Ja+y26j6t0FSp55vOyFlUR3FQ9cUhQ/DS9blZVOLvw23aeh/2nCJNemHV0DzPwrEzN60JzpfAQ
/6pZxec2b9dN4meirBJq6xmzFfbXJPJsvzUvvcZbG0rBNG50KzfnYSqwm3fG0irL6L6OtSZysJbi
udarxmYtm8UoWBEzCkXWJL3TSv+HUeuV09WydcoCb3jfX+Ii0WdAFzzHI3jeFn0oXD3/SVUd2VxF
5yqgMF12ber4MvgsQ3IlE3JjRGkjammI1i8foKbOUYifUq27LK121ROYvwqKK5Ga6ae20+6zVt7F
AYlEk+pOFgdYsK65rCOrt42e3fZppjtxFVbXhQqDmRnTcGmkyBWWWyetnWC99tev+NQefjL0G3hF
T0wE1UHQkxURy4SqAQRb5bbpSZnDSRcd1/klvk3EF3NeX+V2LxKbb+5uynN5GsykrZbBmbloHH8p
5/6p6S3Dc3/x5McL8Xxx5Jk4PcisKwLPfzkA+/cf/3UnE/j36djk//zlcH72f/60eJSDqFGOPzR8
z+9Pwde8fO9AKLf+sMNwf1G7EYd9PqH7jTffR3DhB/8rgjvIBnsI7iDZ/SK4EHxyHbIKw5Geps6B
YP4muASKeCzoMgGBKTS4H976D8EdPmoi6BgGySg8HCj2iuAOvQARHNANHR91w3gPwYXunjtPEAXu
DeX8QJphCw8anrBXBNdgSVgYFekumfKKKxp2yU2AM/pFxgY57Zoo+tphRedM1ei8AUYl6r72HWzW
/T3ljbr1kYwXfY+DtcWlO6OaKmZpkPszBmtHHANjrXXsnpkmLO56q8C+hmOqnapXsA7KrF1qjJ+2
pM9FqXy1xJkePQQuShdh2rgO6vpGFFnZfkt83zuVud8LQ1OhQ1LUiZKxzO6K7p6T3PZjfdO5CT2t
LMzmSmrNOo0knxWyae1WcdduY3QZ6ZUUVRDBtGDlkfADcwm7DpWQXFeFQGGvCKzK4WPW4ca4Vmni
5H3v/aRh9tVvPXcGhMYOouw0lD232zCNVqTnja0MSq487H1BUXcaVHoxN7L02pQ5mgVIaQtlef1p
71X6qe/D6hPr8RprebkKFCymyPeNRRSnxqwmxF1auGYiML3oNE+yRriyvu4LmCazGFbHSjN7oZnm
LIyYFMTjF6FuRqLu4NfRKs2/CYBBO0mA8WVZEuZ0tMlWuV+eViT8lme0FUmsUgGnhIcz7GWnvpf3
CoIAAExrcOHEWoTmroWXoaGJTis8uzXrRaIiV3R9lW1q6YXnrTIetUgiJ0eeFImJmNOksR2F3q2l
0+uEerqI2nZB6viehI3iZwZXgShIfFnn+EoSdo+8ktqxHqwyDS1aokxBc3PmZvA9lhVlIq4N77ws
zcymabIudfxomrKal1ZzW/uwFpQEZvYIwRKfJOgSWNsyTeSi1s2zsOXnWYMWPq7IrI89bFuuddW5
4bz3gsukD5SwVDLnRuKJ3uzOzS5zskj7BN2tY6dvjbXlArHtK/dbQorveoNzh/vsoaVyIc3uE1B8
X7RuZkAIVSZCpaRLLvLIlKUNB45VD8YQIeKnYNGV7Rlv0gxGRRJEZxhigQoWoVieZtzVHYqL9syz
SLD638n4KdugQ/D9F5Px78rH3Ql5sPw9IUNPADgWDLIOBLJL2xMy1FwYUFcJsyE0uEYcFLtfEzK0
cIN2PxCmg5oLJ7XCOvtrPraGYwM5/JWFISWCTes98zHsoxrPxxwUY2gtBPkNHRNzaD7zej4uq84E
ZsW0C2omoR3LVR24jUhjKxUpVnIe0W6plYZuh35yjRiEXnVQZKLJo88QBksnDtWqL3DiZGEV2siy
YJZoOtfJc9Y4QVl+b5L2Xobttwzl512lr3rInJ5lSVzMDAmzTaZ/8nixSHASOp6Kb1oCaQYz1x8s
HNg1tUrb1dE1RxoE78w1RREWn1FLf7aG1c7DJrtNSPiJ4gTP+ggm9Uqj/Szh+RejyioHVhYnibRm
HnpZ5uRSm6d5VAmsFYsm0mJhuHo90MZTv6dN4JiuhJHYmKHmuK3xLYtrrbsOm5rV87jFTaILWSp5
V+UhylqBseE5PCNCyobPMwx5lbrskhlBFbXzTp/VJtA9SLpcVWGnBIcZK5HAxCsU/lCUPrqQChJu
wEyhq4u4/kRKSYXbNdxueBUIrZO3tMWRwAn5FsalBjFAQWZdiyE3IGuYNsryNEfp95z4YeGksS/R
zOxq7AkrMch1HnmRSH1qOk0X3SG/nkW0gjWsjZDTIuNLasj7JKDyMutbeYbSoLM1ymcp5Ze6l63S
WF6UuFwkkIWKOT1tTfcL5QhnItK7lbTCOcQ7aIWrKBE+3PdMVy2xXUvGAsW9boM/n5mngtM6oN4s
g59PMOwCDW/05NJl6C5mcT1PMhoIbtG1kQQqEqrJg/uo1Eg8K2LLsma4Yec96a5R2UcCWWXuhLFk
syJDt17dXbt5kYq+0C9zj8+1lizz0ro2Q7py434R1dXSR33p1Mq7Uyy5bHm9IC3pRIRq20gA+SaD
hIVZrYwk/GxSeUelv2gadp9ovSd4US7byrvL0v6saILbIqm+BAovccsKEcZ+ZkNkVog+0Bdt3Zhz
BBnkeUu7MyuVaA2Qh6KqwsewNURdgG9a55kzXW/MpUVc0fZ0offmN1IkM3dg7aqKz3vPvUnMPFt1
pvLOdM24Darme6qVs6S8KyqMbZ7za88PnQxipjTrTwsL3yMeNk4ow0UZFMugC4Fd6Po5bAn6llRe
sNCoNc8UJIn0PHP8zAtsrEEIkXfNhrtYzlDSOL3VXzSovvQR+0xIs5al5kjcOnAgx3c9Q5aD3PC2
9/zLBhuf86I58018H+cIzxCB9EsahcBStAsX8UWYpBdVoJjwefq9do1kpjfuGfe6Ruh1vI5j+Bjm
60ZVSjRFsmJedVardA2f7Gdtq+unVEL6JWJNTOYY+oDYVq+lyY0P9apEaJb3NQzILDXDShQm+tlr
5TIK6q8lb+YNh+wPAxd09k2x9DypDM2WnXJ0XNlK6cvCy750lPqCJJ0nGsM6Y6S6YTiPHdw2EH4V
+pegKlZNWdixVrtCMuNaD70VEONrkvIAUnX1uVlDjNya6cJNC7biRbb0I7oIWPQ5JNGZh8pPNM2Q
iEN0o3zDIVl87qf5OkLV5ygxbosAsEiy+sFIYKih4jyoyWUbQ67E6yD6C4N6GZN8nXNyAw/Jqaxi
GGGFuixdNK+pD7FyVX9JSO70vhHP6xJBPNWsNY7Xmo4ykTfayoD4FhXGXBX5KumbZVObDu+js5ar
hYr7awhTlaBJfq7rxbrN4JFlSS6SMv4ETPhb1ASXRm6uVGE8lgZwNmmtsO7f12Vwa7LyDopLY2Fa
7rw2/RWt2fcIZSucQEatT+TKJcVZp9LTtCcwwnBz7stoHfTptzbWb3kMVA0YjMBAVe3QQgujDuZp
ll2aiVwHlP38X27yxE2GyPxtbjL0lNhlJYPNb1YCJ87Cbo6nY+JhO89wEPyrMBF6nwAjRxj24j5J
JL9YCTthlgExItVhpoftYGD1i5bAIR3QbQHegb6z0JUBzk/7FQ9vhfMgAL38+bUOAs2zxrSEwpCC
5h1DjSKBRgCjRANoAIlh1qS/zAbWi4mC3NrAhDOgxDjMFy5QZGPgym5WfUdAngOr9QQCOl2abuzk
QLB5nTtoINx95gkTKDhxYyUQkHIriOedy67QwNaDgbfnQOAjIPINEHoJxJ4Bwa9CchkOjJ9ZfWQX
XhpCmq+5tYa4QEGAoFnpGnp+ZXY0xA50iCK0IZ5gEFh0Q4SRQ6iRQMiBzIbaGQQhNNOvSghKzCE6
qYq05mcwJd5HVrdw20gXncmvYwhqvCay0yHK6cwQ8lwxRD4dhEDNEAv1Q1SUPsVHECj1Q8SkV56t
QQiVDLGU10JU5caNP1McQkGbQNBVIS+akaxJIStNuRP5uR3E5pzn8XevChzVgetZXS6qvAgiWxrh
Aiaedk6RP5dNtCzSdNZ6itt56TuFEeMV6eRaR3FwijXz1E07brMCZbYb0bMmktLmjXWb48Cad6xQ
tpbWcBe8MC5ZbK3SpkICollLmKUJSW/KL6xIt/U0VXap3G+lx+5CjZmQOdaXRuc+IgNBstVobcat
xCnNsBFEpq3QDGMpfRfUpChBdzDvl4K25ipJ09YxvOwG43jZQq2k7ZtDirsvc1sGpbuymhoJjIYE
X8jnQVpWs94PulnuxoaAMPihwGlqQ+BY20rryQ3PMYPILZr5JoPVFGHf0RSGubhBPBJxR5LzyHLT
lQWx8tJjqIFUKItWIFU4LTU8uzYMXUAqJFwoacb5sig96d6yhmmnGKQWT5PZjLkRP+0HHQaDIFOA
MFMiC/IDINUYWqbsBMSb0q/MWc1Sh9WpXKcg8JSD0NOmoL+A9IPa+ks2aEFWH9xXgzoU6Bx0IhCM
6kE5oiAhVSAlQfxq2AWIS5ARqW0pvYUC2SntGQwJ7V4NepQBwlQ4KFSWZ1xSkKwqkK7MAHIC5ZOa
FZWLEOSteNC5EFffehC+ahR94oMSloAk5g3aWD2oZCHOg1kxKGeBn244SGm+p0FmBLQ1iInOUxDb
1KC6NSC/BW7wSWpdbnua54sQJDo9yO4hOHE0L+5AYgMVrwY5T8Pa13rQ9xrFzvVB8cOD9mdFxjeV
1esS0x+0L9cdiIQ9iIXeoBqW0rxsBx0xLZJFPCiLGbXWelvAmg+ao0b8m3pQIWEb9TdC7yJtZnRs
nYFOyQfB0h2kyxQ0zKCGxK6K4mtQhzSbyOJrpqmbcBA+U1BAfQghbAs0UeA8kBUJZ5pmLfuykUIN
8ikahNQCFNUhTwWHRcPqGV0GiW9XBqA+SLD1IMZGSf+ND/KsSgoblAWgmaGIB/VWgYxbNf2Kg6xL
TCAZLsYOGxTfLAhvVWx+54MWXLWlL9Kc3nsa6MR4UIwL6bdC99UsyWEuFLyP20X5lEz4/3HFfb14
QqoQkphvL7avKzieqz8GKf/Z6tdyi2Gr3XAYA9QHEBMOB4YL/l5uoWB/aGMEB5MyqEAx/pOVNWCN
xnB+JeQnoeyE4OH8q1/LLRlqFRh0gIbQ/TmX+47lFsN3ZP+pOoC0PodGDHCeiwV145DmHY6qfp0E
UL0us7yq2ou00fmsblxQU6QeUkh50aa+tjSzOw3bOo1mCEXqq5JG/SkyyhaSqDzNP7/69fYs/sMJ
QWNvYNMhZEWgWaYxnGKw7Y2RdlnE/aq+IHmKL7yoT11RUWkB6a6V5KJujOorrTMNUnwJU7mdh0Xk
CbcvqQGLBE1/cCh9uIRr+JVD4hh/6k2N4UVnme4j7jTczv/aYwKJmh2PIeEOp6pwUEegaffI44D6
gG2nLvTW9DzHavv4Uw1sSZ8r2kkT0qUtDp2AurCQUKsLRBchfZHURYedopbqh9+WJVARLTOdUgWy
FirxUS1oYUbezJOhfxVV/DQpuV86kKvn96UPAUXcmO0sKDXrPCj8Oln89V3twgCdWBAcukgteDaA
jG3fFO00r9EgCXyRKpffS49hIoyIwKORpVV71bQFv81cHH/5668dnrXXzyL0SKV4YJhQhjP8Z3Dr
lUBgotYzstJLL1LW4wsc+dVFCuFYwFz//q+/CYbPzjdx2NVM4bAbKOZ7qsV59U1ZanR9XvjygmXI
2OSNLOKFq1hHRJTB8pRXcW/rqGMSxHizSf7bQzM8FNs3Cg8KHHxn6FB6BrPD6DEH/hv4XpoEFxTS
uZskrMxNFA8+mH1SzqwCZOAOAfSLJs4bAixH0kcV83LV8M44ay29QLbehDKy/4e9M9vNG9e29ROp
IIlqqJsDHDV/5z52nDg3RJzEJNWLpERKT3+GUs1Kpc6qhQL2zQbWZcFl52+kyTnH+MZUDc36PVFj
CEqBruu30VvG0vc22KFxNkTqFJNkm/O///T2x5n//PrhBgIiSRAX3BnXP39RfjLHfRwzD9wG6z5L
ZTSHstYYdMxkXXt+sUI2r5xm47XbJnFIhsjJIgyW9M2k2zYU8BDSIhrq5ZtUJP26xKNIL3//IqP4
L18yiQguon2OwP7tOP0JqEoUlb4ShtzU0TSyjJYmE9vRGUeyg1nmuVBu8h+Wbo3nXAiRFuj+QEOp
8dhGY1g07dS9G9u4c3naWv7B1hhxV20MJpFpfJ9odCds6lkxD3Utc2kI2lNW6/7Wjp6+m7yNVJwH
WZ17G+u7IlxEd4oTCJ1hze/52hOXt3M63Ro2PZmw80iZLCE+SLmGqA3RvG25b2l93aL7fGH+HF1E
QoPrjbsFQqEvog7E0irPHlUYq+1KtzKwsVdutfsy6sk8zr4HwcN2MNWYnqB1sTB8mkRgmyNLvUDm
m2jYKx4FppZc9pP3CS461NxRh+dm6DHYT1n7VS5jgvuedM2jzJhL82WK+EUxNRcrPodjEIXZ3QSp
t4qsmg5BAJWyauM0QPtrOQU4FgoGEYuoch6zO8E87pdBMJgTjprQAo6pk5yatP3oOh/mvcrGx5iY
+DhntRfChum2zzQZVKV9V28H9IQcep/zP4e6tW8a6m5cbKFBA9fzcOEHZ+oBN4e11cqXmR7UAPKo
NaQ7QWuIoThGasAH3S1pXuu69oqU2TSH8OTg95mWFcDf+u6okqbi0bz6D5YEEeRs5bd5jSvJHIix
mT46krrrpNm2lj3MdjJdl6+yXXv1VTARhtuLtp5LOwExEaV8+ALpozZE5bOZ59G/NY3pGnfJ5LQd
l2w27NwpKUf0vu3w6KceOdcrIXMx4zuAITb5mcPX1VFa9ozhPDRtY6cqaQDQFao1AbsTk5+kw6mB
DyfK1bWZuU60IbiiLBsCbYsZZ+Eh8USNlh23TsKLiY5gegLS6O7Qt1JleTvh8GKVW2RSeAzUbJyv
EIaiYtCsA/mWzZYdbJu2XaUZuoJD3PNuK+gWo2L2YRPNRScU9HXowlzfa+l1XTVwSd+8eUmlX/pD
aI4yojO9jcEHsUtPUpPGddE7PW3rCcMPUaIauUihjuplmw5QY3t5WNukW08+Bp+xiMO1lQVGvrU9
KjlJDxZrFH7wxm4LSkKSBtQZJkPvDkKcp/GR9/2Huuuy7kxUZtqqESZ5t82GkEPtAWW7ElbotM9T
EQpzZGoZ+0ccxuRS8y1sDvOIV1ANpuVbRQMHO5bW62hvOrri0vZwq2DuDgIwOyBI25Izwucy7Rd8
nTLV6E/6rSbbt7ZBvKukeAFdSdZOTOfAl9GJy7RJirBpJlLKQbIShmAT555VY3ZfM1tHBZFgYSAc
1pt35WNWPQQj4/AxRQZIKljFNpyFDCyvmiwSFsPt5uVBJrMelw8H5eis9LbcOOl9UnjSKyghifso
vA22Xm4yp0vkkae1teF8m4zZOpR9NpmbeO5xJME9bfALWQeA9sCkCPqXLWh7cZnWrnUHbeNNXgWG
m6eoDuPPsWMdhJAAFy9sApeSSmMqxYufg7orWzI1uqCWVTKQ00trLTqLmtfLo44T+zoqQU5LauF+
0wbIQt5Thr8Tt3CRDr1agtvNjSR60CYOngLj4f+wiad37GdNHTztrpYnCO6hPfcp1+GdhK/xDPxu
vzjretLHtNVC37s1MrTwJ4vvRtgeL2zQKLpXOMGyZ3ASuLo7VElVQuRxw9nojIX3tZqb5l1I+yw6
u6i2841xZm8+xeru48ZLXDXYDv/0MGwbsK2wM9vRb9L9ze8v3aI+4XWNXXALLg3vYp5ifFSiGZqt
yKAkzcXY8kY+9CrFLa9mdAUcP0NNDU0v7ibwN/A8yAgO4iyscvNN54lR59KfJ3dwWHlMqnWZwr1o
4GYq8I5QQFwW7H0y+IJnFpLsQhcpgbRBGcF1sfLkMxAjvAyn6vUdjBxfX3G0ufXVMELaf6Q4LTAs
+sHtlPHpBY5mMuVgSmV4GaCUzVdMDHwpV5VOFg0uOMsxxMda+Om0fmnaJr53s/aH0+SvC2zDpOP6
1DGvewP4utcQObWixBxASSXDVejDmHTZB89n3aGzI5/yNEKZW5UFbjAYfZV1TR2XcahC8MwtNM58
EWH2rGpv4VUb9rhNNo+R7Bz1QzB961CQ1wsNcElVdq/YVR17+EQd0BLYVrGdrgI1h0nBstYsOGkJ
BKJUTfUnlS3ZkwfiI7hsmVHBV6P7VeddEKTLWdoQf8p1gQCPZXnCzyO+Flt4TZYctmFZzI1b0/ax
XvSU01Sfos4t8WmzCb6cxg/0dhxbqGU3feKia8/40VCJqe+WK3gloyhorDvxhE5Ef/WzHmUEpROu
TyO01XkGV3LCKbBOjy2H1PYxGDZCl3xDB7a+Hw3xMvwxzVQlUq8Bq8FG+yq47y1Fm+qkOUsovA9O
e2w7qnnSspLbjItUhqYm965pt/i2S8a2BUq4+MlNFAgocCu6G11ZMeJbs7SXPFcbWIOcat1WgYOc
Ui5tSNVxoxOu/iZyHOAnW324uKNOpg82XoOnWihcazjpsmdc652+77M+QIENx6w+0E4kNnfzS0hn
SwOQzUv6Pg77yZY25ia6iVhLl3cT05nC4Y4ruholwbeJwWF115KYZrhO1SjIfeh86I3MDRnel3Me
v2mUN9qyg5MS5ujGZnPTtgyvH9IyP2hBG1Fa5/vndYpw369JAncyYiK9+d6V/k/jazfyixr08GZ+
5td+xNf+z/8+yI2gR//3csq+UeqHZyP+qMT8GgLZf/0PXSX7BVwFYEQ8z5RmFHDav3SV4Jd9jxmC
8JlPSLivGv3dxoh/STP8DuIaKOMQY/Bbv+sq0S8QCPBr8D4yiqH3H9kYf5EFwNjRGLERrFoJ4E7+
NOEpZDg0SVJ+x1sOguhKRuI/DGFYmPmnKYxiTQtyIvhDUImgFX3XiH4cl7tg8LOxXR10kvTcixk0
dRjW6pB27gY3ZGLRg6z6uK1LXSXeCCExMDR+DM0oh5KaLLlJVYqhsudsupmVh169m0ky3SSJ56Od
ByDCS38MgFVo61cDUKfx1Ag0dMqLgFI5tK5q4GFlEXQ8KhFNlR5sfSQJ1Ml+Se4xnPLjiEasnAeu
jhJablhxNdTese/sNjz2ahNvaIuXAwkk2+qCat+rsnaNwrrIWvxXFYwRAA/MOj55NP0It3mc3PRg
HF4FeufD5gXolZz4SEa0cU5AOW+9CYB/cybLdARGcm2B6eWp8W5nsTzHDXmaMv2omu2a98tzEiOf
QZMJsQ0ZXU8qQtc/XQtRnwPOmzNOB1lyl1zZoM2pjxjAwoejL52f+wwD1LBeYEW/jHW9Fm2bJrk/
THdKJvUp68X17PxXkTQrUHKCeZdFW07b4Jtoh7Zcs6xaAVPkMGvCnIM6PxjnkCshbLua1vFqYd7R
dc3JeJIfuzZWJYodzAwkAay86WxMKkaiKediBBWpzkzJdyKeWuCMcV9yrzmrbWA518G5105VSnSP
gzJXgjgLxMRPvuBI1oAauS1wrB8cKnLuAllFkeHIQPRlt7CzGyckanqZBzUU/gZtU0zpUue8jh/j
aB2QSIjmk+77OO9ZFpYdi0zhr+ZmShavgPVzXhq3HofW/xYl81eke+gRgEd3RbIOY4JoYvkw9rSD
Cx/JuAjAlARp4F2ypg6OMC++IFJx3hLv1gTpeyO8YysY5sVVVayhxUwwD3f0Yen7Q1aHZa1YpQOv
6BKYV6AIjtQahCEIPvi4TzFcLB+CDdbFGPMSIvynLVluBt+QXCp3iVv/fsMfXQLwAwgMbFFwnEcP
gyYcP8+dh2i7Jsw7ZemzY58Gul3SDt5JXPNKpfH7aQuAw7jXZW4wcVADsKW5xqRyz1kdFCRskhxW
z0vLwxfMAVmpbHCdRT0vbHQ3idPaRaIQ24xwEI60VHhP1On3UbPAgGtcGQt+Hy1Ajny5rnm3yCsz
NGdIkm2+LcHz6IkniiCSNw751ttDysc39CiXKfMuGJa3XNfJZaqzY5u0896SlGQIoAjMkXkX2fqC
93cV1/4nMnt1vpIWaM4A/CckY30LA645Oa8LXwZL04+aDnBE3Lqy951hzTvHUp071wZVBFUg96QR
5eQ1DXgdAxDfrDMyDZ5fWtwW18sYy9s52sB0tWphupjHZL/DgJ4j+pCZBTAvo69bQjmSJ8mzp8Ok
WnRyC7GAVawdoY9GmcbFTHYUdW6vVurxgofxO+P7CqCLnUq+jDQPgvpqGdbHbmxsXtsBTRS0xQMm
pI9J8ljjmy+n2dvK1On+Qkmb3LARpJTbkPpokuE14nWNAMYqcMtBboniJ5+PiK/Ua3PkK7+uu2CD
mMseGjO8zi4ralaXtA4n5FL8R5bgWybjJz031TbUp6U2b6myd2281ci/iSYntn0J6/kgkvTTPpHN
FJmNKJi6HCPfiCRXT/MaSJFmcbmusqjbtKqn8CsiZu44TnFZ98vLQtgxjswIFGn+pE10GBW+5sbC
8E4/BL1+xgz3IQ4GuD6ufnTtet1n9mQmkGKerT9wsaKXxS3q3M3CuiPvWI/6mbwzZruLdfLiRHw7
YACl0fLB7rSpBeifbssBKgGKha+AIwMcS5pPSPOgNa2TY1THce7aSeaGyjPXTlSC9BBS4+Qx2PCt
6RZkG+/Tp2mRF0MSeL/Sf8FJcDWxocH1099LuZnTUPMP8ToBXvIhYyJ0gXJTerO7IT3efSfSazqn
J8j/l8DEL9mIXCOUxZE2dySmJ+A2uYZmgchQ89mjXhlbeYKsa/NpZp9901zwWZdyc30Oaf8CpedB
jz5eZqQvEA1OKk4+McAtywpW0CyPLEpLoJTbQTskpzop7v3IvTHfQiAB4eJHNeiWTd5kcYuY3/TU
9WYrm344LXyZTjTr1usgIGUdhtcIvHxK2HDlK1LnYTgYRGr8IB+iyN6DCkVWS3FSNVR97H0Bscun
d34GH9H207RbnPAChesOcZJ8ka0HbNzn3kc7JrheMJlXqw90nkSy/eqQRSlDgrYaIGB4A42Dvf3Q
n93/Kln/SGv8WQjeW5AMcTo8kIPESNXBKvizEBw0cYB8I/Nu6/p90jw32WsU/wcv4j/9Ez95ESuu
4qSZ8U/405on6d083rn6/u/fRvKXTmp/G1hajt6QANj96W2E4bzCSJX8zrc45dO7zVw79+R55d//
M7ss/i/Z/9dPCyMp9u8B9I9S/yd/A2bOStJm4XczeLcJEVQNcc6b3s/RvV2CPNEKHMivMvj/9MDx
v2+U2Ldq/PtRosAjpL7vbcFjW/86R+y/+/scgaWHILQDPHwzwA0Y7l7MH/5s+EuEdQ/wIjPMeziT
/zVHgHnySQjPL0SQ5Tvz9MccgQ2baP1j3BX7xZQiZ/4P/FnYQn+6aPbc1e5PZfibeMogZMyfJoms
S7esX+Llrl0klPRCTYN/AZMcAbOD8QCSDvHjmocgYLxr2sMIqmMArrZOStF7wF1M/QSE56qh7nHx
3fXKAuAvIslyDNlQS+QGEdo82269TTtyjmWSkxYZu4nqu9G5SzLOCbJ801lurQUoqCEnc9DLaeaO
ipA3AtS3sHrCwSGbFUFUElaqQQu+0egw1zUtoj3imGnxsiYM13wbrVVm1q701fiEnnDOo9kLkRcH
zjRuiERbk0ccaIfq2YcWQVETJmuhtC5jaV8TdFc1m7oyDtIvU52CFE/kx2RyGsUhOROHpnCSaQ5Z
9yMYliNNx20njw+CKsRndXcKEyCRy0BP2nVduUaLghrqXteBvXbG3fkD+twYVrf0AX12UXNsGnem
8OsOAEUVTFtvyCkfv3I/AuYT9B/HIa7BVyykZLP5lrBwu0V0/rMcY3Y1xxK+UhyC4+RJ5fU0eBfq
VJURXIlC7vrVgAMF5HFzFcTT8kKzRZF8Rp9+gDtWbFGKfpylw6FdiV+0MCkqilwPmCqk8eew1zer
T13ZwFA+oC8bwX95a2FwNedKN0jaSDgnqy9Z1ftaXkkfESq6h6nCPVZl94DV4ENtbHTr36xJlx62
PYg1qCXEQZ8mAIi67p1WwXQv9vwI3ZMk054pwcE4XKAGImgCHKu+Zt/jJx6CKLPa2hBAqM9eHZUe
EjuxN5370H9ASAqznLDje3/FB39kQAA+eXXG3yLazoD3Qwi6aBhx+NFiBeiKdmuckQMD8aMVZGYd
3pgVyczAYgji17qfXuAIZMjtzrdK9PbEmNnptcUhsT5khzQGNBu58TYyoTlMHcDTVJlqAoUMFwXp
ZIQs855su/WW9eUWNQHgZyrLtFv9wzATgVC8fExJD6NLJs3NgOzGVTPz5RmRcHoG8w7vEHLlEfPS
VmhPvbkQIwKk+tLRVf63mP8q7OzYyb8v5r8/ueGvhXz/vR8KeQSRBIGnnVTFmo8fCjlBTc6g9yA9
gz3nu4z0myC0gzYATkDn/IvB+U0QwpNMdvQmg4iDAyBAGf4nhTz4bjf/6/RHIcdqD5RyZGfh+uOl
7IX+B+YgYDOGAZUM90756aFfkN+Pxgi6bWRPIsVttKwrLlvf+nd4E/4VXIigzxO4Q+eW+sNH2TF9
Ay3I5ZqQ6bGek+gUQ12/tQ0bv44G/XuKM+JatClQQB5gZhgzzxJo1p6716ozdxMMzBfPT8whYGFM
CwaGowRj0982fMy+UoT6YBwiOR1gAg+5sFBzcbwAjIhf2iVVjzaMYXtokZ6buR+mPJ295hDE6/BM
Zt/kgujw2xDP7cfYb/sTj3VWIpSmPy+giiskDGSVqswe09qqK6gx44Ot+6pFZuDAJR/LBRkDJBE8
ZNm/DJqL6Cro2bY6ZCyb+YjJffa+RTyrxS34d6xRgBTcq7tUjLDueODEo6gzL6d2huy+GYJkzy3N
vAGqDI+Eiw6g5SlsvnYZsb8kDnmLKKnXYxaVc7u+1lisgQwPEj3ZxNxLYveYp5fGA/QlrL3gIokv
65ysj8YO22dYfUhD9qH0rwDtilzyIDuyceGvuJJkgUz+9plpsX1LpPuovOnQc3nx0kGXXZAshY0R
HoAkzRHtDub12GCOveKBWa+bwY1lbDIsfHHdAI1EWi4PujPYfzAtHbz4ZvqAc6E943B8TxpoB6OH
3lj4dsljULenpNYJnJsR2w08k71H/Cq5dViwUHbhkPl5aOLhiWkf8emlzV691HoX0po0H113V9PA
K5VZ3HHxPO0qECiTKR2T41vqDfqMXG7/Dn6NPsf+lnziW5CWW5bW7x1rsBqijuob7U31S4BDq7Bw
hK51sw0v2+y8K1y8OOPT3t7VXLGPdOvs+75WbTUPTj560o33YmlBWyID15Z9FC0aM1wUVEudAV/U
LtYlVyuQat7HySlcwm9gJfOoRXDEWfKwAvkACT4kwbdxGLfDJH3MpHAfkC5C1up7CfpvY00wYf1N
Lf7TAwD+WpH33/69In9HH/cUI9bO/ppX/KO1xvMFqI+gQQQEC4PQnyV6PIIEaxFjtBe/9s9/tNbk
FwrGDhHyOEGoEg9q/UcV+bsI/2NFBnqFeEGS4ukXMJOJ/3Nr7WIPi0iIuPVghpfx0pmKbis5J8s6
fUIfBqrGTEapPEEZwEXXbPGuzky6Rsfd1FUGEcm/7VWIfTTTyKEJJ2g9Hpylw/p5Bu+pBLTjaZtD
CCILsOp8ImA6XQkmi0FMTYNpO+N4Ulwfzei14pEagxB6DGI47z0k6PONb/VTNyAjCFG2Dou28ddH
EVA4V2Fdi8M4ttCXTKtPq4BP2MZz+twHizfnCIMtz2OXUbC/8bitRdRDHSg8dOpFQ0Z6T5plfCEd
7lUvHrH2BD4xWJClZXepH3Cat7SWN0DnKZAOtnW8oDJhRTaEMAz8ruhIPd8AMOpu06Rf3nXYHVTB
IQ+jQgJ9OM0ei4u5neinsO8cDG6TDRvScHMCnIrKGGtugjZ95wV02IrNdPLUqnT70oXAoASPVt0X
qw/6OTzMWVxD0YjI3AxnuhBzjBW+EF1K5y0vRqogqJoF23+iOphFX6FWsC2pkEHaFqyysWTbshO2
vOB/W0fFj6lvtgetlvoTyXr9kKU6PdQtMMG81ZF4gu18mxE92vvBw6d533t88SsOE7srOBvm6SxC
YG93VIb1S9Pq8Mllc4scNyaTGhqNL9uTT3qUU4+OrD5PSIe6S5fKyH5LLOXfMpKlR7An7NBKgTNU
ZiG6W09D1fVUWjZU6o+CBKMCQuZliMCZ/1auvYvcxai/q1z/t8VCkK9/UQN+/bXfS9b+tBvA0DAI
E9St7+nrH9QAkhI8lPS7pYiS8UcTSbC118eDkUBC4sF2AL3xo99dxfQXJK0Qm0qSCMvd9rTVP1AD
ABP8VQ3Y5TYQC+hxUSZ/KlnU8SmbqZjvamnGC22z6Eb17or2LaLTs3pOMNJOtWmwnCttt29i0JP3
MMMxWKcNm74C1z5ke7tkmvXB8Ogy6G44TK2GvwOfME+bwDtKbERAayoOvFnEGWibX/CRQU61aMkK
ZKv6Q5eO7fy48vElE/CAPNRYOGxOwp0LdXRZnLdd4rF30CvWfQya26Zc98HIYELiGUYluQ9NazBg
fAqa7IwbCNVqH67Cfcyivw5cj+P3CYzuw9i4j2WLgpGQ7qPasA9t7T6+hQmkaIWJrvk+2iHXFe/D
Xoypj+7j37IPgku7ITa0D4d6HxOV1bfBPjgaTJAKk+SKiVL4axliwvQjfmX3kdPsw6cEaJHXmEfR
Vc5Vv4+onHkGjazhb8wOyad1qxd2mOJJoHv3AMMJHZwyNb8TDXmkyJHN5zERnnmQQT+dwEwWWMKV
INqBIveYGNT/XMwsXXKSsuhIAgt7LWbxW8Nme96f7Xece9gpW9ffr7W+TZDLRMT6dvLDK2q8w6Dt
xeuSctgAMuwyTL0VsRy/2j58J0328t+2B8UjBi3wd8Xj1wfL/X/aHfzWH7XD/wXBJYLOBCt4MtSQ
HwbQ/eFpKQJt6Hl2IAG37e8DqA+NcVf3onSXIfcp84/agQchY9s7ROk/VkH8g9pB0p+p8116DkOs
twTeEOExEPvPfxhAI0hYMJfX4C5uLSqEXBag5XRqbmqGdWabfqBi+8A0y8PJtEfLwWFJAeRJsDxG
ViyD+5bLxr1XBow8GdRDsgxHrD++mhkvks5BfNOAF09YovAycH5hHKIbvwug79wgfkeLJF4z7CLB
ndhguwq6qu1rG4GPXmdMUhGjLykIn4oSzxwia162oTvZkPCSxMu9tIZUU+9J/Ny/2ha35iGi7vtU
j4RI+9x72HDQKf+bHPWb3UIMs6Msh7kRhQrdY0edLRoXvdjV+6C2KEEKHxsFcBIUy5bd9sm6XnlR
g8kGVdD13YbFK3WJPhT/I9NvMZuxjXHTXwDylUE4wGkOpcwZi+B4C4VpcyBf/OZjvN4L8I659iHu
WYVJLBMlS40qLbFrBJHTdx1WMxDkxEay2rPSWHr3OZAR+hfpVHcS/YIa6/rmBKN3qtoarZyBglX5
TNkczaKrsGynPUBAA+EQLgpLZyT47ZVb8yDWKcAba9XDggwPzOsFqwZTBOhCjVV8WkV+Lqaa512P
7X3dlHwcNgXFDase4d1GFOssdFOZWcDAywbgtxmLj0lq1wcclFGOLR9+WVvswhuS4ZK1G5rhJpI3
LPbrEosrNFb8LOnRKb7mPeZzXU6hFLmH3Y/HoJnfwmygx0lMczE1jJ+CxHtdDL4+yCZTtSwtyYMJ
SVukWoYTTtlvmNzjfJ5AcvcjLlUF7hJKsi4gt7b32MLYVIHuE6zZWGWVBX10xCAIBHbR8ZEKsH8O
AzkIYWz+A5B8n24Dv+CT2yAf2/4zHfZdAKv0T1jGgc/Gh1TeY9NPTgIDAAxJlQaXk9e/jsgzQKTF
QaNjROsM9dSVxa48TP2zwoI8IfN9J+RxNElb4cuLcqbjN4lNtHm0irfAi8hR+6sncn/ryLHORpEr
SqNXH5t6csFAiFss48h5p5J8giBUMW4DD6+yT+Dxzu0r7jkA9whFniw2JZpK1HTzK0eoQ0IR+cC3
thvWE/rb8AHM44TNDam+MmzDqkQyykL57qn1Al62fgtIg2QNdJDpefUyXvgb2xdS2QERU1fEi37x
+PQBzxXZcgaZuBLdBqy2Qx6l9tMuT9f6OeiHe5C08tOabWkeCi6u15lSNAwIRmzzA9bf0jxOwGdj
X+Z0zuYEvMvyafbBjXOKIFfmvdna6CLu5Qvx6ksbAf1PLHZiIM5UtJ3ai0h2g4/iPDfZ24D71Jv3
BHZHnyDx3U+BuIxwbfJeDbepH31BA/AB2/xcCW363mxYzECVOg2bftRb9h5HLat8hKqKaVZQEhDB
Qtp0PWKVIcyT3iHk3fVXlmskY8U77it0MpyN+QxW+Qoax2cHcBh9fXiSg7g0KTp/Ym88R6ZyhSeK
O0WqHCNOsOP/fR5hVcRrTfv+U9KY+sTJIsGwgupwUxZdsIg6zqNk0HkUd6+ZjlGz/LmvEjLdD9Z7
xGZCe6ybRl54P+NWHjiWYK6W4iV5plg9g30eDjWJDZY/dEGGpgy3y8O83zybz1ip9n/UjLGoaiaz
o69H+a7laixpCIAUFWY+ggSB6xjDdRijYK22WsA4nnmLCpOuRzevNbh7CRY97SKMuEhnJCp+A84P
PzvazlhucudjpwXmv+t4BoZFrB8eiSVthR0U7IBwoDxg94x/bCEvlpE/DLBcHHgFpC+kAInNpAyP
IXEo9TVerehw14YWBnfbY7VqIkCeriOqlD+x4Gh7vNNYgZ4FW8PzuQ6So1dDb6s7YEwTB2LSd0hv
o0z9FnP6r8Lj/63Cg9DQrP8yJsVYT/1Dq4MnGOAhccFviwF3Qf2HMSml2FCQIuuKzmZfL/E7fAli
M0AQlsLOjMFZ7gr972MS/QV5P2xs+227xD80TfdtFD847btpCo2C7u0UXgI4zP3nP7Q6DhYlgHwW
3TXbmK7gx4aOvC6CGHYH2Jt03Y2HcNGJshSKyCwe14hHoH6isexD7CgIWCJzKJ9NNWcmwuKBzj/5
tgHf44gq5mX4HKwbL2Dufd4m7cqOCF0qja3WHQdrz2pUSBDOHKuHx05jCRAFZU3Xzf9/7J3Hkt3G
2mVfpaPnUMCbQQ9+4Pg6prybIIpkEUDCJbx5+l4oNnVJytxQjyVNRCqqjgUyc397r71LPLtZpZ0W
EkRKmdIqeb+O6zZbxXZ71RXSw/2WPPWafZMYxdbmbhjAHi36eZtUSEO9mqt+KsqbORoeWYX3jdlw
VWUlAZIWH5SH7xsv2/zmCbZndqXuOoQZOMH6ta622QnnVbkhWlGsIGKUpJqqr0YYvXUCOHSuOOt2
eh9GHcORxYqssPXK8uI06uaTLCIoq+4gd2ZDlq02BuAXEq+KUSokW10Pb1A/XoEPF2u9nt87N9x0
oKo01H4NoEQjy21j4NsifKWLha8A7Dyoe+O99YjaDeHsL8r0bByLad7NYDP8LsJNFjstLOHk3u2y
guOe3OWkYsdS3Geesmrb4kbW6lWsdAFe7oVwnt/0fKQdXrq1OiZ1sW1RmDauLQ8aN9yiiTPkqfCo
wt8gn1Mwm2aZxf6l1zfayO3rFTkaR2tjlFFxAxd2kvDJwOZGaqo+c9DD+2P36Wfwmxu8pgOm+e4z
o+0NBDiMfC7/G2zTe2VqTSAY7GLUG3ftFJ/NAhizMowQk9r46wC8ljPl9AIZ7r6dxxut116NWh7U
cn5JULvZKjfG2onML4k+HgY1ml6zGIgkh358pEYRuD17PkuFpW3VN4QXdg403iNpwvsp4WVxOscY
GrmXcGw49sfzV9OyVl0MaMtKbW/d2pO6m52vmihNojjtY9+Sw8gl29mMXFAaecbWUhJifgQmWWxX
NQPmQCnjz1FazUHWTfPGxaYWiCna6krzkgzlruSyCQoXPoc7gWuBOrFuo0L6GpmDcTBDSCEKdETl
uW5VbAWGxiZaPFhhHJGq0h2/CSefq5n9S73LnNQJgEwcCqsZ/JjMV1ch4WOm/drE7UXm5lvfhEc7
A7+bTuJM3vZKMoOH0u1dFQTUltNBj5vL8euYTShi6LCtRsIHLdqar3vgVlP3ZXbKNdbavdpELwaq
6N2s2MuOFdE0060HR4nvRl2BdDE8V7EJQjL29vNYXYWRK6/Csnm2R/a2rnOn2PY+NtyL4jU3MXtX
ac7nPK93acl3c+aks5Ja0a3Id972nJpSIjHwV7a1iL019BnIxP1ovzZ9g7ooutvQhe2fFNmGRe7K
btmV/3uK/zjFq397iv+fTCbF+x9P8ctPfT/FU/jBpNawYegyrP0ID/y+tHHA5zzOP9+oDD/5gTj4
U6bMnINq3V/wSMZy6HaYO+OWQ/X/RwrgH1LNLGaQeniCLtQl0vm/LG1R7QwCyll2UbTqJUpYFGbO
CNpk7TMNK7uA79bU3Rqmo6/22DkoAvCm6jy4QEjDAR9PnuAx7UCx1E6nbyJL3ailcTeAIlu7TtkF
fTQd1TZc2dBp/OXekLi6DDItg/xWZUGvcHWmzVu+UJcYcnwJgf8HUmFAEFnj1ej2X1jfqsBlUrFC
S13bU2/52gSvXO2UjDuJtcDlWHCczusCEyM6SP9i2hQljHGQlCvmslfdaAFFitpnQL6wt4vpS6na
B2xSsBxH7ilR33A+gyhmYZn2C8e7nj3tqQ+B9wl3OVfFyuBnDhMNYYskmCOc03kehb4TQjZvN5OD
Nb7iGOPrw/g4x9GpBe4uQ3kV85r8cmJTn+v67ZCkqz6K8nVa6KdQ0+/DKWtRE7vcx2uAGbnpOfak
rIGgfna5wdA9dOWTa9VKYKsTxQWcqqokumt1IV9JHD5OzPuv2sVcZbTNNtNwHIqqfh0jYmVFus3l
ALe+Y+hsDiirnRHqHBJd2Dn6o1E1eIOS4aJA8VqnaTevdGuO1rNHoi+qPWWrlN2tocRfLBxccC6j
AEhjelXab+34RrBzY0r7rZmMctvV7M+7Buc6qPPy0dPi4o7zoUzfk2j+Mozx7WyoiJydhEyZ1rHr
vtWaOId8v/dqW6i7sdXLi16H3sXEl3CYgB6bHvro4Ni7tp6Er8ZqAjXfm86GmAlTJWU+bMmFP7Gj
XzlJHsPvKd/Jiuk7tYw8ejRs1in/3/vct/scCuJfD2n/J3/7UtZ/cp/jp77f5/SPmxlGGdfUYTlq
eGJ/v89pv3HzM21uNUiVPw463N/g1SKVat+sjT9iaegf1VCBmOd+c0v+I7cM99k/7OA5JajwQBwN
1I21lJb+uIMvpTWn1hQ2FzUz7tOyudMbemHM5iYdJWO23owPkYpyopk7MU0C1msabsLeBpA9diFn
R4k7ZRq6Fd76W9Wc5yCWjuZTDmP7zazdtGqF3d7jdxWgP9HZpLb3ItQwGWd3tYPeMBclKYJyPCmV
iuO7YLeDX04JFHioK6d1xDrr2RvUkEvPapHfOwxBTk4/F0dM3qgqNva1KOQS0zNnazYMKdy+HAIb
urg/18V9XLhMMBQMHWrd7CtpbULA6OuGygMUg/wdcMYj0AFl2YnsSkO5U+ZU88OqAQRHwnK2ok9A
hWiCsTrskSUqWb0X2lGLjC99/FYbAdUWu7IMo9XQM4FmDC14R1KMFdmYrvS5kWs5iTdyWNIf2/pL
1w446cGAeyoviHDGnoaHaybfDFGLtQJCrNUOo+m+WsLel6ow6dmw1JXnWMcannuSj+PSBgM+aNQu
qV1nbJq7tbZQ0VqDiEgbRc3eWTRIbPm3egT03FPiz6Ne3JB1IEkMqhwkX6xt9KpEbXN6bWPYLGUy
LNt1ltZiFaaD5teqe0RX3E9dArSNETtqy+2YNtxy5k5bVwbsE7dh5GV7QClsksjrqMLBH7WqEcAf
fQK7Jny8kttKFYcmde5Nb37TlKjY5hMgWm57oo+9VamT0pDACHxpyt2g9job0upgaLyWua62ngE1
OQ21Qr2WZlvcuWHFA9cNy0F5mc36c1IO5V7vlWu+4G9emZQQjKPiEKfaM+UepxqYwkpxTehAg/E+
Dt1770zTpmlHfAKNG+7gG3zKuUSRZXWaOZiLbZKhu8O3RF+Tqx56IV7k7F3NlcbEB34tCtKxmiYO
aqqrbtoo1PwyBelcN825FTOXT38fR+GnKnaocTIgSgglvwtnA8y43j1VBrauqo12rkXKYwLnW+II
pbgIwF1kPdSxGh/AtaK4ivmO3zkcK3zJCHplyUbfxrezwAT6GiqE5i0f3mhMgQoSfaWF5lNTihoJ
HbtvQ1rs0OgdrHxsFX48JRWj96wN5rEpnyMVbbiI4/pa2JbnD+hsYzHRn9Tljy6anR+1MfltofmN
XqK9GrIgF0RFVpOkCP5Tq+8blDq/FDbIQr3bq7Or7isXXqkWZlub5+JXtsFRY7lKXTLIjWhnv6yK
ndlynlJQXUtm7gJtinOUonGlEWmDNTDSixM7Ky9qVq2JNQ/CwEoxrWuBHZpOlgdtFFdW3R1KYzp7
Zn3XOz3dNk2+jZUQpxgmCr9ItXM/dg9JaWFDm+Lr3OxuUs7ybjqemnx+bsiZ+CmsKz8vxSM8mIM5
qrupae5RylW/6gqCh2VpcKQfj2lTrR21Ljf55Da+Xo+nsDZu0mLK1uOgrR1dHvSuK/yp6Tj/AcqM
tAvQnTOMoGus0+zR+uZTGFq4DtP5OYvZXZgVdU4AEV6b3CEoPWHYbnV5X2LFG8mWrTGMjQDtvCnF
8SesXWLahbFFgtHXcQnOxCJa+u8S/rGEm8hff72E37VvRdJkb13zx2V8+ckflnF663ADWPp3t9QP
y7i5HEXM/+e+4qTwXYlzOcg4lu6xwjIR/PCiflfiHHB1eKs+AjFMH+1/5LEiRfHrOk7MWuUpIPqR
rWYc9/M6TvLKSOsxKy/dBCznhAnKEmdMFEJft3TWXVMm1aM9ZdbZktV1F8N2xXe6rvX8vtcyLgMt
P1Z6/ZJN5SFritskh1qq6ORORXgihnGiKgdkqjNskdojRLj0iBHyaRbFu5c0o1/2OugbAn03VjRv
tNwUfjxTbkEEb6WbHVmHVpzwlfojrZ6r2ugL7ZNOBhKud5QxsehdbU8NYJ0cCHC2ABoZ6MBl6j0U
wlwaqOPE/XBm2r3cO0jm28rxDnbmzua9Ebbse8N8EN3K83CzHmuRNC9iCItV1xu5vum7nmF924kr
h0kWDH4PtQNnARAnr3FrsaM9qycqVEdqtc5xN0d+NoyfOnsZGmXFkyPpWWqx6bo9IH2Z2G+slWxO
hmq8EW42bKggOVFxUgU64UC2Nsm6mkOGgJ6xLsP+QVfDR6We962j3PZOHhT9sDenYtUrBKAG6+L1
9uS70ga1od9OTfImlfIKZpXil2136hyqsBxF7tyYPULtabd9p+zhhq2LsDoTkfiqG5yilGEHy5uC
uXxH0PyI++Oc6+OZjMMndWpuvTjb6cJ+SL2exKezC7XoYsc4P6tM3mVy9p0iWWVS3Q5Wc1u37or4
8l7Y5lO+pK09Vla3OWTgWAI3J3oivK8FZHMzs8/G0K0HRo4mCRCtbE5h0lx7BDvqhtRn566kosG8
j8/MmS+w03zPmuHNmeRC9Kd5KE+9LnwTpDmfZSDFsGHWdxYhbHyDNdewNl3bHqgu3EpbfdUt+BVJ
e+JQ9ykqXbFePvrI8e5NBrRJrm1dezxqfdP6naeeOx1CUyXOtQ2sf2J/NCsPVmzsM0blMMFKWkLy
fQN71uVg54XVu2c2lAFmT/QWPpRqDFxc2YTSOoJB2OhdflZFnzFP146DSQCZJxHA1SB+qB3Dfj64
jhYAQjtGDl1XCZVZY7zH+AOaZKrfa0e/7b3xtp5SUj1Rb904Fll9e4jPCOiniezKpc5Usaf0DIdL
opd40xavum+N1UW1reOg8ZXqluls3yhBZQ+0nDTelykaz0y7V2ZuUBkX3YxVa69GhvI9QfmVUVWv
rZj4+hk2yLFwC8x12ihG+DrX2WmAJwsPpLtHGab0zGBNNNtmrZdsMDSaMn0jN51AiesxkL1SrPVY
O4WmeWvWRJMVM2f5HvnEUVKvhVS2jQnWrBflTlJ9hwXSEZtq1E6t6LZMohdSHqQ13D18O/i0ln0B
0+zrCrJPUJjNlW4QfY2nBnkfPHqYHo1K2WrGsM7t6ix1nVlBlX8GVMCHMSsrfWiA8odooElLJ0Hm
7kvIKiu4BwYbALYC4TyyoRBdUKq6F+gx8SGRyGOeECZJ6SvDpv3cOiYCiJ73gZLP504zTmOafGFO
CE7O1XehJHA/JjHHF9Hf2oX+CM/hoFC55SpdRlqokIGaDCfL0ya/N7kDkLaXgScRIfUq7PwhkdVG
dNOxrDSsGEZyAUD10NuEveJ4vI9sINExiLiCuWNPphaAthbEVc6AvBYAtvMi8JLYY46pDEfcD9lV
bFEi9+/a/23t/9sJ3F3yXtd/MoEzf5zAcXxn/kY8hb0V4VtO9j+s+ypHd8cwFoXwp9iiR/E4WiQF
Q9+SMPzC7+u+9xu/RMdcDSiRhOo/nMAtT+3nCRxmo6Vs10ASICe5uKt+PL9zpshj9udkWVx1WQRn
GCTaaxl9UT021KAzars4Ji475GTw9OMg+ftady62Vly6Sm4AANxmHaH2ZgYnoYxb0mzPRW1tK+nc
GoV7onyz5ZD4ojG187OxXc9OetVaHM6ixurpq+oe5FjcY7+jGsZTs6CqtHalJvIlFMnKtvQri0k3
daRvM7KTJuZn3VS4TMb2EFMbSV7eoUU02TUdcqko5mcKIndDnCaBmbbXoxO/UHfxMLvl0RN0zthE
/FJL/6oMBS0Z3WNKd8ui422Q5TazM18nXspMC2Ci9LjyByyMrBdkLUM3RZQc9rBfFysLQh5OFqdS
NnVDOdeUu48gQEdfUuOxnzsUgCE0r4SaEVUflJ09cAjWkjrEcA1lwxz3usZYUdq3g+xuwXDXD5k1
vWWSaZtduYcoVp9UGnYJFFEaqo6nKGUsP0SOsrZEsWt7RQRj112ZZrOnZY0YaEjoRfvCke01CruH
ybUGjkHM32d3eE3VZkEGGqfMMd8NR9JAaWkPH+b2QaWPUjHDDWxQii6H3mYgN+1EM21dd1hLgkpd
w3sWRZlJOj0STMRSpjT1GaqaFq9DR5Tb1kqQlNsymUhJSbXdl64bsbTSiAkTDT4DWdjaIaG32Kea
DytV1ldsD1pLb0EALmar8cN4xS0VqlNGGW4UV1UgTe+Ud1VFL5zxuVgMXMpi5TJMbDok8vmvAWAF
fi8aukzgbNVXAl02KESxmhZzmLPYxCIrvXVmOV05hnNWYh0MnS75Hdj2SyV+znCbFYvtrB97jKwY
0bzFkmZW1heBR02fxvcZpdRnYPkYIej6zBdO6mJsSwEG1YvVjUIzY21a/fX4YYPz0p0Z1y/Mb4FQ
Kma2tvDMceBFpjAByWCB+ELf8VLhNHBWzVvCV4vtTl0MeFmknCNCXKsCZ14xii8mZj0L054OgcRK
5yu7oAivlDe9ISA2YPOTJoECG+MfxBUEKVyqkWo/hfQ3bS3+xtWGp2iubhLMg5OpNJQUvwCFBZg+
sUnkYD8nK34VrdVOumKqptC2lvmKEjdBVo9UmQzLDDSubrupjPZpHC/dwueZISj6/lfOJ/SwmH2t
bqoprT//u658rCuLVvvXZ8oTofj3+n3644ly+bkfTpSAAT2sGBwPySpyZ/9hZcHFirOUAiYcs8ui
8/1ESWsZ5WRLdcc31/z3ZQXgFmZ6VGPWg+Wgaf2T6ReW2F+XFSzvUIfhAXIdLQfVn5eVXGZmORGV
P+cGFBKphib5ZefF4bZQOt2T3nKQmG/CibqnSlvrlXvTtdEDnVApBDvH4MJPV1UxneyjiJTPxpA+
5OACVxqbmi10xU92C993GgD65WKnRsUQyK7cWFodBnEvcFmo2iulFvKT1sJEMmjbWAszCTdzLHZD
Utu7MKoPBfhjXxjxU26V+Bm8l1lp/Uy6dTAk1RvRITz4xltta89jPy2q4nhq2Z1CRU7Z+lfiqoO8
5Vt52T+R7n5l6J9cFVIL1+B96WOS4iHtsld1cmbqq6J9iGGS9RLbRKW/ktc+e0UdTLZzx5kwxSlY
gfLx6c546OLkhUA2Wmb51NRKdEAh4qBpBnnRnzVB4DmbzuOUnGEPB9VUs1NN4i+lbC/A9khb2sPZ
Q6tEO9X3ZrkRLMC4/wNdv4uqU+1QNZW+UElW+TzFLQs3uTutX+HvQ/xFqKW1UXcfQpNuJatpdr0N
n5Rk/laEytHOy4Fia6fHHbac2sStbOyjjR9iY3LvCDgz7Koy+1Ir8bBq9Yb2LiZYtT3HzNe6aypA
dqrgxqsCpd3GBbaSJDEPWcHjZVnQcPani5wD5zwlKxCzxxhYctkIurJDz4cjcxza5JJJ74wHYmUL
3K7lJI5DxNYA8IsDl3tx4dp4KNlbFPhs/Wgux4BCEc3PUhMB02maIEnovUgc1topwejX5vO11zpv
llT2EVykDSsenfLkTXWKzZiUNYFD1Z1N5d2k0xFhVuK2WNrwYj45RRoPFjV51dKXp7KrO1aUP2du
eZJU6lHz+xg3zSdZ0bWnLa1789K/V+LRhehFJx9rKewaWvp66vq6pAYR5NLgl1DlFzZ0+qUYU/Kl
5Q/WDEVqkz34xKsMnQiHoIuJzwMCqLyYQKBSuposLVMh++a+7F3dn+hzElBvMrpYW204lUvh00zz
U9i0RxVMtr5UQmXgc1w6okQT7b042tpLeZTtNvcDbVKyU1BB7b1alIeOtqkSA0WqRheFFqqCNio7
rXhT5+Fo0lO1yBhdny6T1vEmy/stedSj2dmrgoYr6ZV7jcYri+arKmIsZFKFVU/GlaQba2jUa0jZ
2aabYfQyTx6WGq3GnDdQyy9yKdiaZudQ07hFZuKKOrGdmUKsmpZSLgLB1HTXp0g6FyzIn5ulvsuN
9LumbJ4iPJDhKE4dPV9xNN0WaoY1i4s+zQCeD8kTVL6tFZW73E5cWt1wcy3lYYnTAjCCLAEH/8ak
X4yd402+FI6h8QQxDWS9pz6rSyUZHFq62fXudogtoAo9Y6OlwKyY8+eORjOn6wNJw5k+zkrQ0XkG
w+oVJ9Z2UIZ1SydaRjdaUQNnW7rSmoidNu1pcxM+J8z3mDF9dKvpCTVr2UfjmruUr00jNWycoOd1
bWdXHg1tJii9calsU8jYwEm/mHS5hUupmyijE7vRfA1p+FOf4PtV6uys0ARXld6ZOQBAv2Hc5EtZ
XGJpj/QtHQGXPBn0xWlLq9zyERqu9UnSN0fee23QP6dFytNIHx1Fx2cV8Bl8rHJd01inL9V1yVJi
B859VS21drVmbYql6K5y81fJ9mnyOPoTCcR3I7boBMOqoSWPvuRDhf0Vqt/Kwi4L3FoLdPPeibo1
qKlPoLXuZovavYJwzl6liU9ie1OWar6QuhiTrj5N2luH7j7ToMRPtLa5BsCr70gUcC1H7+lS+ecs
5X8TiWdiXfTXaUz0VBoCHVKMgCYoDdSX+kA7UndN3j039ApW9AtO9AyG9A3SIQNRiwbCYkgw3Zf3
0ZQ9tVXcAxu+ThecGtWFCGUTt5UR6Fd5GSg3TJaWQ9fudwq1h+3sEiiwb+ZMo+/O463RLsrSkxhT
mMgM8I6SAXetkkJaufUAP00bbqRhn5qPwkV6Jilf7JYeRitfKhlDyhn1gqNavvQ1xpVNZADLN4c2
rs75CGWFGVvNS2LkBHV52jpR4V27EP78vO2LNeXyla/jfsCt0Y9+3+WfemzGTAzEhhUGN5eLB0zq
GXMg9qAfRHglWY3A2pFtvf4gMvbvlTJ9LRiQWlzFWL2KNDBEDSwpoa/dyrKnHgIl5c12vaKJA0YL
IG/Fz6HiBHUeoU218lJw8nsWmkOky5prZdO5g3XTDMV8QKel62jITJfBVU7SXA4zRARNOQ5Gfehl
cq276cYcBcOU+TGvwtuoglxQwW2CCRLomYvlQaueQ5pDAydCtyZV5kM83HboRBCG2089pz0NqxmF
o6d+mFhkklXe9Zs2xLhpNPdSxSfjOvEbd9ZH1ah34RBfVGt8D4Vxlc+8TR6yLV+kEryI8Sxn6wr3
BGJmZgQ2uH6RpRvA54e+Y4museKv7DqkvcxaQRi+xTqG/zyf9zKyj9aY7LR69jnz7XNvINWjpti8
sYnYwrjxhvyuHVkwymlaUaV1zzGiQDZKrxCSiCkrJ9xNAVuhrT5We2ZAWyWN95FTXUWyfbJN4yor
tENtsNIa7iZ15edQzJRHo/yF7BToZKLSmowwhkSrat/z2DsqtG3Rikb3Y3fVedln21CJYngF4+Xk
ttaRDPQk8EwxoffZu3hU75qFLNQWihLQq+JP9IvO9cDcnzrWUCwqZLNpBX1onf7cu2aQCRpfLIVC
AAcsTsj3EVNdxd09fc5gY4MdhI5PtaqXdgzBomyvSPHoeeHWcOdrJr4xepx2Pw0MM4V8KjVbXaHb
09DaJ1/CumT4ifC8xlJ4Hiz1HEbG66jS15UIuVB7CHskew+O0CaKwqs+nen6ts6tBNLG/R08v86X
JSoHC+eog8txkto6nGz3UmoYH81uXWYuFKdWvclM5Zi1xKiVyNg0YGb80IoZhQNx2MWT/WINYrrz
uNOsUuaC4+gyWR7Kp9Gab6Riv4CFDTcyqZ5VBra+anebFPRDQP8ZXs2QsOJy66lgJ/SlF++iOhOB
JdOThMKdRsp8UfT6SmoR0RIbt3NV5197bWzYIlbFyuRPU8qBvK/uIhAOW3JB+8FBO5/a7jgTSIC2
aT6PGheaUME61qMHWnoyKXhJzimscFOYDGfjuTnKsLYJKRhPWMAoEanDG6/JXtBszN1yudsGrkiP
aNEmxTn84sbtXSHNG20Yk6NnIKhoch9J9V6P2NGUloq01G0jtVypkDirSN12jskp1sq/di7TbZNx
QWS49wAcD0krrtLeZp85LAGr9nnSqltvJE5ZSOcstOicIxojc0xXHJ4fq8x7MUfjFuNKeWUZQEy6
yC43emu+zLm39xYGqVCTYlv0/GKl0jYlM5AVvTP9TmTQkZoPlG30gbWlIEjnGFFD1V2739i3qWEr
a/0bE/eHE9/1N7rBfyH2QRHTHY013jNwP/x8gAJXoo66XiQXIaVfFKeGNJ5n3v39g/wJT48HsTVw
PIiQHCV/fpA0HGtDaZrkok57pYASgKfWvG+H+79/mJ81xg+enu05jD5p0YIi4f7iEQpV1eMUoLJx
178O5YNi/LcKGZ7mf/gQH7+f6anG+JLBpWb9+l413mSXpZ1nl2Lgi0ZaAM3299P3n3wWf/L8HdxX
vEO8URa5xZ/fpsgBbmNYFdMnzh3WteUd//73L7PVX57/T+/PL5+1aadarHArxaK3VfIg1TbwBczE
H98zsfrHD0WG1aa0y7SQkL1fPorMjdQZJ1F6UcWugwqq+hJtzyQWGijym6kPtPmfV4QuT/uXl/XT
x4J28aO0rGoJ5S12luGgDDxELM5d7WoBX/abf/6ifvz8f3lRhYPdv3O/PZCRrApsMvGGdWRZiuV/
+a4tT/rXFwWBECw5q6OBYv7zizKsQi9ZeItLQ8tG9taPiHvfVK+/fN/+7Ov2w0P8+nWbkcVL7L7F
pXDfRPhiKv8fX2ealkg2MkjQrA/t5ofQjagyqzUVvbgI7oCM7LJJBH//gfzJm0QSQLVRQheL9pIt
+vGTL5SC/b2tYa9y3gbnTF6Gnsz/cu/6k4uGi9JyMHkzu9AWjevHx/DIGhRUKTH0ZOM3BW7la9ZN
X/ulXM3Gf/km/8ljueAidJyTzGDRn35+LHy9iGzCKi7xcqZeJyVTxrVT+SV7rNuPt+7fMJvGm/b7
TXf11r79r29NjGdoH//nf1+918Uf5c7lZ77LnZCIbPj0HhwgPgN0yh/kTvU3bs1E1qByLuYavm7f
5c6lRwBHi6eRZsNjw7Ts90GaieKJQKnyDeKujoD6jxTP5Svwn/sCSTZAAgzjPFdnrSbV+ssa4Wgy
UqkZac9gahqcYUmNjzTWs5VTmd7W6d03ot3DBvtovCaUJkzlkDdutwTtF0BN8sGqiT+4NWbSSGpZ
OwHMX36wbaRZ18N1AfFGGmlyr9SD7gFxmwHiNAsPIIvFqwGy+oYWFUj+aqhr64i0MEGdoswSDDRz
vGmrpolWlUW2dG9S7SKMtUadV/MCd1jgZRyzGYliZXQ2WdWNXoyJdsg/8P/RPKXgRsjLYQZaGgI8
g24w8EHRlrpHm4k5bQKUmlTrYYmC9qmtrYeldUDFXvoIu7LTdimL9Lw2mqWrYNI94srZR4eBdEJl
XhcmVWx7Vc72qZuaGHVVL+27xLYpQygcyQFjaUjQsAW0d6mR1d6aaWJ2GYEZ6Th5+PMU4UmchwVT
IKsoFTVrQOnsqwy21PrfS/RjKqFy4fz1JQoMv33/4zW6/ND3axQqDwqnTd+FytK4eNL+M5LQ+V9Y
xD3+JUBKa8f3axR+IzZ1xt/ef/C936cS3m9LXSd4R1apbxf9PyFrfKwJP12k+NS5C3C3ZuYNhPKX
jUIvx4YetNi4NKOpYmPt98AeqpUmDIM5d7UpDb3DKD49oSIYqyYyP9eGe2xxUa6spepIjIBf2jq+
giwIhkBFfBJq7SNOdKux6c9jTWqUCVxJaXP3afKKlziJ1vRv3aY0dhdTe9AN/baSuNlFhXrpSb1B
HNOPRU6TWKQ4D03qldjL8pYSovABcPCTRcMazuIZERvsnxUZF22w115VHpys2qfWbOznPiTtmjLY
7ONxC/5srbvyK2Sg226IrAO9IVs51Z9cxrNeMz+OsIT8VGfuTdlB6tt4p1aGDAN1JFXkyPhx0LrX
dOzNIE7jnd6VhS9h4QIYwSbW4ixG3TPOaV4dUNRRZer6a9Vzyh2VEm9w5lKXXOPBj6qLsHrGhHlL
c1CCv93J4canMX3oHuLdubFpTcdczfyhMuevLlSHc286n+eEN5czbXyj00vkx039ztnaO4ky21ue
gt1VlxPDg8a9NAnBdmeJlNfou369xMzTJXCOgTv2MR/bW5jBhNWXYLo5OtGNGhnadl5i61WUZMQF
iLIbS6g9yYm3q1MmdsYSeVcQYbdiicEbdFMbSzDeWiLy+RKW18aJWM4SoEfDDoGgEKqH26lTH27k
64LEPdrd1UwCH2vXvl0i+UnufqU5xaYrgLi+sgT3pyXCD38RqORHrH8J+JNIZWdRV962XeL/YgEB
eAsSII+AA6i0sd0S3XFBhrCOGBq7eHXBCXxQORrDUG4yVko/n3ml1QIgSGzV3rgLlEAseAJGuHKt
0PFGaRPwAsY7+DH1+H7Sm+uuU4t1rLgTpkH5qczQPBJQmhCpACJIrzE+WKXI8MtblOjF60DR+0NB
oZ3fxF6xmzpKgPUxgg8QFsBrQDH7sZzJOfO+40ZSup074LaLB5O4h9MlX9KFp6EKJ1z3Ua7s1FZs
Oitbh2GBn5xqKz9nQuYzyMx97Pfwi8XgrmoG24HNjO9m1nBPjt2tPeQpWoBgRJPp2ZlKzHZHa9rX
tpg/Mdhi5ZNa52deVp8SGrACY5kP1ZW9t6eBaKri9Fs3LMxbXekeE69slZXaduRFY33UNHLC8vPA
s0KGR2qNRUa8Oq62SjLdawqC0wgwOsBneihIcK+HYdJ8r+8AZQGKk5SokqCO1klRKKj15MoN46HH
yB6A6LqH6XdwRHE9OE2gKM6psV5DR7/qSrt/JgDyPtjYO01FgaDxf9k7k+XGrXTrvsp9ATjQN1MC
BElRpKheqQlCXaLvgYPm6e866WtXVv7l+sNzD+xwhlMSKQI4X7P32mQTg0ud0GI41d7zmGKnHfa5
OFevdX5a0iRHIczvLYBEX1uLE3RabSM852l1CXtNs9XFAld+UpvgLizLA4j7W0K1r7HGk04qmdhV
6eJ3TVGlzCIBmL3UjIJBSxPgXBJMg7XQ6RFTLgsfIekXN6MS3xfkq6j1+K0xeTy4KtEOTt4d00l7
m3Pb3va5QbhoX8ehNmpwmQ0Sck3J9iBBw1m1EjeBOGFWfx7ZYgeOYl682YFuUzrVwbUs/uagZmje
CxYoQ30Ea7MnWKzyBXKVTAb4pN6wbDLCIyG/esEwd199ZGOdFmlAtqf9DTJXaW3raj5V+vBRm8Qv
jdYLeWLWAa3nJuvWd1JQyfqs5z1vuggTHQQ6gSFBYTvnJOMp49UKin2UyVBuGLtpe6W19wvhJYCF
kPil0201lteF3uNZSYv3gQWnUxlnLW52itnuYjI++Ux9Ylf4s/WWuGlKjsb4vU+dC6HBw5Yx7mGQ
PnjoSAhx8ltyGRXOgtEvDAKJhuK2xEKvpclDgaU+sSsWSnjsR8z2RTr4o448o4p6Z1NiyI/InU3l
RgpFdY9hHz/XVzTii+ccQ3eE6qR3cQDlhR/b1Z2adt0/tdHv5GtJPv3r2oiA+Tfx1b31/6E++qmH
kV4+egRGbsR28y961j8lG5JibVkIOhhOaz+U/n/0MO5vFrwyT7U99B7SKPCvHgY6qyxlQHRIsQWK
pb/Tw5BO/2sT48L1IF/DBpOI6cD5paeuYpeDRLj1jaoW8R4uxi6JscxCkTiOjlj8adT763nU652h
rthJ5vFSZSZHZFW+d6ZeB+Ax99hlrK1ndIsfTzazZDNpfQ5neE7KpDMld5WN09org++5vLSx95yw
7PFFZxg+AUhHkkSvO8vcu7XHkaskOzK2niM3rv21dU9rt+B2rXPApcVwFZcZeFbTulrdVI6xnBN5
Ho+xBQ5wSF02JUiaqi7FRNi96ZYJjsGKn0RpNchqE4A0MzqGXKwnu3Ke4SL3PmPSF6+on+1ZHL0c
mbZTPChWeRogaviEWz5WHRpqRSOkOJqOzmreVSzJWIV+09PZj9s4xK/oYOxurhunfgGse0ZgiZXB
gtM84yXiongbCEzbVDPAK8UZtinaiA28xyIwullK19pl67rVuBVCLORUM+AA9UFosrGvE1YaGNDO
U4EeM14nbUcAQpjZLb46wS4g1ypf0deLEdkf+tA85OMSTi4PWiOuLrNph0tSHlKd3StZUBd7dB6T
Noq3jbm82Cke63SyGsBvZu4XVVqHRrr0gFYcSt71tpsrh61dcTVrxVeySlX6oD/aSYdmvdAjH6DD
TSYc/VxEzn524/v2zLrAxsxIOPbRXojA0HG7pY7AMt0SZjkgNR2MQey60X1JbKqdsa30TVGnOwzy
1SYv64/csesgG7ApIxMKC5eoSpWCelj2KWl5OMWz964zvrDQfFGRx/u4Nc8y5nMWLWJGVZTbDDHh
kwHPjd0jiggnkryr9gqTxqGwtJM1JiEwapxwxCpvl3nWfT220T7+MFRX1jhsJ6Hcps306a351PmW
ivJCxVa4tmYPS7O9MpVW91ush54t7Wy6ZAIj7Q1M093r0q1Yd/MbcVbsgFna9SWQK0CdXLpyUf9c
G8JAr43vkdKvZUMfz9vcgZGHpcvhKMcpCYKF3AqruPNYn9l6ZGyIpT9Uno1poNc2pXRcFnHGfeEQ
zuDikA0N6cxk9K+GinRrqiSHHhe9uo0wchrS0QmF/s6VHs+ZGOdDA55mkwwTyagrBj2TpQtz4pu6
5k6B3wSZOGkuEQbSpFTVoJGeUhtzaVHZrwNm076+TU3UvR0+VMLNCKOz6/OM5moj8Kp6ev1p9jAJ
W1yspVk2WyfvkRrOSh4AIsMkbLVIcFui3pJV2eFFzNZXXbpju+ssOxBVyMCtXcD1cBmIMnpbpK1W
X9pTJI22FY7bmcVTxQydWjV5UuL8izUhwNGq5tpmu9970BSkgdcjh17aGh6Ig//uSZdvPHPdGdL4
W1fx1gQ2uFEaXIUibqtrRZ+tk4ZlWEnL9owGDGa99BM73hoFs/QYj1FU+3GH7ziZxEl0uYvUGU9y
4aX3ScfVbJmxdmBPl7Bn5BMndFlnOb7e1lFjg3IFcdKXYkUfotwZbTdS4XNjJWsbsbrEIw1PNAqR
B2VB3Q7mnkAR2jLoZmSUgxxob0u5zcV0rUbqQ2Th6dN0cRVJlx805Tnd9HXXZcTDaN1L7knPkv3D
v9TjZBp/9zT98Del0urUStOT+8P/9M+85Pd5CfODv64Jgq/if84EwPynmQlf+OfMxPjNgn+lwuL/
HWb8U01gMv5g6EyH839Ekj9nJkxTVCB6KkpO84f688+awCRUlaEm6BHbNiwHd+zfqQmsXyoCE3oJ
wxkT5L+HxPRX9PoQjVlfrJV+qSiR1Ty9dmKEHWL5vWz8y5WH7lLE/DQ/5Z0wPJVIAgoggsqsX0sP
BXATHWM+XZjW5ochVl1za63jVYmRkIdqTODc5FAHD/WNt4zXbd48OnpHFDc+bH8im3Sbd1p+FJ3l
EZnoqb6xDOz/rUbSVLqXqW8an7BISFVy1JH0xX3DD/T1priweYPrg31t47Y6khtFyPQDculIjTy2
5ex7DHn8ijTogOk044G8CiNbhLppDcEIzyToc4T/jvmsuA7ii9Hb8DZf0MHUaMqtex46d0o5nxUF
UUGqstifaB1s1zsQXn2eojImUUd7hFVUEIAhRKBLEtIohltLWcPJHJ89t/vSY+c1LhcC+HhC5Hj6
gmJJL1YXHVGXpCE20r3tRd2uTzo+oa57rO14n7pm7BdotpmnvyN3zUNRqk1gC/gnhcyvUEbZr/Pw
C7VhfSUkTmYZZTemS0zRAoYSdWPQEhs4Otpj18enei7HTa0td0477sjW2nPaKgyF+pIXaqAgGirG
Rrp1ryxN4ZdD6/qO9+oNnHrw9Eeoopt+NPMNFwRyKMJWmx4BmDN+d7EtoniwTooYLdSGzKRaaGma
s5x1PIPzAp5twugU5lpxIYw8Cw2D2JPSPKHZiBGwmjtP8LtNZMaHYlsCga73SiDXnundHaDMJTDW
/glFGdmsBFNvjKG476fxoFm5wE+qfqgFYt54Wp6KNLV2s7He6DMm+j7JBBna3adW6J86WaXgabV9
XXgHKBuan0/TjuHdbZm7wezU9rVjrJVvF9XHmjUvidMnhJzWD8DIssBsHdJOR6RmzuTrgOXpzYnI
5hJjY2lOLAbmpH2rkOt14eoqCP4se+42moqlDHKsTv7A3pzQcqjOFGruJBvxbr4qCtT8+qL5asRZ
Yxqfk+od0PGFYqX0IPuyEU+5ZchxwaQRMWqlkjE2ayniU/1gcHZqTN4GWVi57RtIvTstV76I28k3
JPDe1lyNDIgE6WT9AEVgCuop1w5KaTHqmsS120GoQ0XA983pzXuRSkr49M3OnJ5M1OYUp2rEInZm
MS8z6ZGPZMB6hn4/TcPLGnFczl7mi0y9ZF19ym1uWaPKL+A0joWiHNaCyR740mS7zgszWCQ99kTk
Qzbh05tH7S4Z7N1cD185sD1MMYxL7OZl6ragPg6J2R2x6u2RWQMIVV9Xa8l9SLs9e7zXwrwXE4kM
43jV1Bg6ketkSLL1kCIn8UxU06uxnQxzL3Qj7LSEIeHaiJ3hZEOoaoxOY2G+Vqa2QY41BZFCAoU5
NbsRa9RST98wEjJCW8ynYVDxQSmZ2T7IsLDYJYB1X+slu/CfDpjL75Psn0Ujv9BY5FOU48K0VZ5D
RGVoct3181K0x1tjokxaLtPiOxtzF13N9/UJn81GeaueYZQeGFNsoiNAuDEgAfrw33++nJ//a77+
fz8epYfBOk23GNr8+4/votESij2uF+HgcD54RA1586tCrOnf/zko+FkosGQ21V8FH97AmZXOYr1o
xCjN/aYovrz4APj9//Nz/v30+/39SKY3+wlVc8B//Pv7aanqrVFL1IttHTsbHQN1nvn839+LKX8p
v/7Sfn4zv/yQMVHVXocRdRFh/4T4fiv26qcbuABaTtg4481dt2X4Hur7x7MbFJuzOKXhU7+NtrfZ
1bTZE3V3PQT8xaAO+Wf79N9fn/6LjOPHNWXqKmsbCwWM9QN09pNcoBjXFbKiql3YUJyjW3WrnrRn
EM00C/4YLJurb9pu9s9tOO0tyy+PsCZvGd2G06bwf7yUf3bj8j7+60Ly9NalTf2fUK/y6/6oI+Hh
GVAiSL6wUXbwCPipjlTxjFoItKkGgRxylf8xWvoRiIHM+Se41B+rN/gSyHrJXINALz1Bf2+0pP17
fcd+HJkW0RtINQxYr7r2y6Mh65Rcd1Y9uSnV1YxOiT5Yr7OmJu7B6qoqJsRlYowztvarnZgQ2T2l
gqM5zQrP0dXpn7zErO89L7VWPzPGieFE5QzPvQGidSS/xtnaScZgIVWe8OBxosTAAApdzxFz2zSl
1W4EqjIK+yEulrcpXt/I6GQwPt/ZvQtBHeuELl3j+gIiQcvt7SyiYFS6K3bjaMF7hM9xJ3o/Vpe3
vO2E305QRUcQP5sepDlbEbfwkQiERYWEWqkYY1ujdzBjzgQxRfumtO9MYd2VFCBBbjifSzSfV7dD
Dyu0t7Zq7xtDf01cjrQagHzIWIkJj76uOzf1mNCLGv+Jad1ltnMt3P5FL3P8HlVxXXYMxpOc7O5I
Z+bQw84ywTxtiMdx/WbN70TbPLJea05Gx+RllcdVJ9mfXckhOJkC7BCxIqCfZpjfVVxcVxDlV6d5
MWyyPXuNcnFUu6+175Zt7kkYdD/uC6o21Sv3Wo5Y0kFxCaXcN80BmapOElAtA8Wxp/CiNHps4QKg
qfgvE6bOpvLqpyrJPx0vv3UxerpN8aHlyYNdyyiPITOvIys6pI2curTFRlhOAjUWDGA82texNIfV
hXnHwOgBSSuYIcv5tOvqSCDUXbO4eDtUF3ZWxeaiERIgFc/HKtWQuhG7RqG7K1Jl3ujSOsVySM6c
njK7LwIbLwjJoenWbpCrWjTfygRenDC8kLpNnEdGkHC5enfYdOZhyG0wRxKR2OXj7SqEvbEIqKpw
/qKEVwl3XcZH8HrvkcCIwJRsZBSghtBfn0mNeXGgGeid9gaHmImefBmquMNUHLbRelPkKZAkPfSi
CxdrfTbFeF14+QXzz2sKLCus8hWJ4IxKGs/HgGxiOQ42l51mZdc1U1iX/Stpl+6zQjz9ZiBR29dY
XftKR/k85RBcyhvD646mZ19Ej3JqEB02WceE69C+snAC8KETGl+wOK2dq0bYN4v0k1X2eFS8KCQp
uw6gCT64mfNuK/Ops8cvPSof+sE5kIhznQkKRDVxIEYWHgT5ms+BSeYnFEVusTXGnTMXIzJb+4Y3
L2Pfkpe2A6+gqeWNHmmX1jLD1svfFQUaLd3cxklylrVGeRnG2r2ujOTolEP1TDxuh34NoS5+pOKo
FGPjW9L1FTF+952yfJsi9P3DUtxqGGoKpUYVCEQYsoq599z1uqiG06gx7xyJnLDLt8HQrrC944fR
bzMcAEXksVwbbvpC3ZlUgkaDjB8r7Wm0bJP0BJwMS464Wmd/b7ItXKzkyhsH45hqHby0OYe5OCPC
5gFRscSFUAFiph32WuY+j2XFnK0uoTO3adYT76MOu7Ln1cdVjQRmNvXLvJhXCmvfc8KN5fOZWzcV
NgFWXOiL7MGZn9e2iu/I1iqOZPpZu4FfwXYqlGKvIaXfNA0BmDjto1jdCHtI9oMCy584AH700qhw
RjJAF/8c07/PeyiN/vqY3hb/E9QdQMf/sAPiC386p0mZAugE80XqYH7eAWm/aVRa6L11G56ipDb+
cVB7vzHqMRkQoXFGqiY3N38c1HI9hPoVNCQaRarhv3VQw5X8t3JUHtR8HxoI1TQoefm+v9S8cUTc
niYAOpr10ySJbgK0m8KEauNkfXdRVsl9o6d9scwGfo2FTwMuEbc0GRRYX0R1tcZoW/KVVgrf7zPD
XifooGj7DXLUcDWRg5SSQMfsAgWyOdbbNvI4UREjMPBd70fJrjNmNwE+7Tx6YO1o/qrQBjizIeXz
iro93ndA8IZ0fo4mQNAia+67OsHmpKTeXlPjDwT8DzMBNGgdzoB4pGkk0jZql2nhYsHFIVj0usDA
RRDL6tfA+dgTfIsG/Wqwm/6YgO9T8UCFcWsn/jhBdEMA8m53OclYkvvXzdYSevX8Zdf2FzLDLEAC
MQY9uEBvNl7QCFdXmBahX4EU1EVym0jGIC/zw6vKmxyjmWsICcZBuP40A+fe0iHArIIGa4F+ZaMd
xjWb34jnN2GGX3ahbWeJia2LZgf84NPpprvJzuM94dfYuIRFoMq0rkGWKvZ2VGbCVnlgp8BoU6C0
QtJpKcpqJBxujVViQocCxLaAI2XYw2sp6batAed2BHi7SvKtqy5PLrgm9zL35G41mFrY19O5eteJ
0nxfZfgM9u1s22eQF+oZVYC5FvOuTNnE8TjzDk27JLdGrj+yu4b/twC51114FHFufFtVTudy43nj
w2gX8RlCfHO1qiVCvkTJ941Vb6dMvdPYQDALcNmosIriZE+f5IoKGcbobogfygIjxmnZ2M0cWDWO
cEWpL3EWRVRs8Q6l5oOjQN6cMqiZI/PLwr4yx4pfManmUTY/N1b66RjldURSxQZ/GPkh3UB8ijK+
mTyIwZIb3zDbvTIFA40cO7vFM2vwXNleV1lwyZDYeVxDRcea265uiOstgEcCuTO/tiPnpI0KQ8Vl
uS/X6jsoEHcrRpecDmtB0ZDH1gaMxwf5Oi+gY9jNzXcF9KdFKA/sPV8HulpmeR4wQeXYzt1ZNaLH
ucqOy1TyaUX6U1zibUu66CGaneOQ8Rtq9NgMjYbxUo5XodLNb5EzPbJwxuUb4xaaFc5LJ1Xfe9O7
m7rsHDddqEfQrFxH3EyaeWcsvJcySm+7XjuQwOeDjLuKoY2O9nREjfoeL8OTnCoS7Ypay7pJ0nVv
dBiOVeqRvF9eLFJmdrj24awQmejzmAMD3Sqo3aSkJJoFUfBp99L15ZXhiVNu6IdEXZ/GCvmTwOTv
t8Z0aDor9blgEYIpxR1qqffGKJFW5EW3WW13B1XE2KJ/cLfRUAOcIp8nrD2s9SYr0gwowAHZqD/3
8Ch15GDyictTCuBYbopLTbW10dtBDUcMl5T0lPwg+lV+BTyTbo3FPmWj94FsmGvLsR912zwZmL59
Y0TdI5aGMHb5iOuSFei0eq97FZYjGE9605ebHmmep1nFvmSzpxUDdTxieKx78/O4xveaar47JQqO
WHdPBPdFuzhWFIS8xR1HdYcsLdf8RXfedRx/W60qQFbbzXYxlHVTpjrxTu4S5ihIumGN7rOWdJy0
0x6qVFRgvp30o0mUs10LsSVwDi52+jwl4qbDL4bh8/vKpGo7sLxGmqUilWsbQFq9pZBn0a/lc4kG
MT6teox71Rbg2TTraLndgycBk51ETa5r/Qrdy2NpLAziCdeXCCrZxhE9TAa4POvYXcy0OCe0WwYs
yxmmpSbhlkbVXaEw3uYxQJRxsG5hWZ5GT+k3tkRjZjAyXTxxKqAxxHzgM62JVTuLywcDsiZwvKsC
0mYmkZs56CRezfriSRpnuzyVFgbZKbtwPfBLmMfHEn7narEuG6TIT6i0fw4r89mjtIf6qdn9lQoF
1FTnxwopdWRaFxtKaOOZFcZx7moJEHUKm7pNQkWBCOqIqACNVirQMZ6xAVyufQWLtJNQUqfseezY
OOgksNSS6FL4pUBMm+ywSqypkk+H6gfoVCJPEYLqB+RbaeBJIGot0ai52oEnk7jUeGaaLwGq/1Rl
v1dlVCh/XZWFaL6q/1SS8VV/lmTubzjsCASgKHMMVcJKfpblMDKh6rJV/obFVOWPksz5jT9DXyHI
/sdc5aeSzCJnFD2OYzk4Epgf/j1rgRT4/DQhpCTzdBC6YL4xFjCA+8Hu/GkCl5eIOuchcs6khFzF
Qyuq0zDpi+1npWiaGnrQyJxgAmwB+SGenzCH4lWuvQpV4JAl32ajvy+TdgmSHlv2NIy7dooDxuUs
ENRKD2qtAIXkZe8G6gZuVCvdktvbQm2wzgi3B9YZJAVO5R0y5edprLX8dkAnfI+EdO+BMKocZjAF
d3Kspso5jyoXHIZokcQq8belGZJLFCWpfUmKxblYlctOxCRJxtjYiHjqwIpKtXqwHQVHFc+padvP
WjTctEqfpE8jB7GAKj095zo0FlZt9R6cXrZwBHenKTOvptG6s2JzQWdXPalr8TCaKA3rpPnQpSrI
Tsb3ciBUtRsynmfGe1Jl6wYP59kedYQ+8xO4Fcs3KAgVoQRKySMglmIYk94pcPEUYwJ1zK1mJs9o
L1zWOTnyBOs+d8lHJywrWJT0U/ech3I0v1Qzo3kv+aVY7nDrGDlnH2KU/cT3h3XW5K+LEXNOTule
XVmltHIjVhbuA0YFPayrHCOrMUA5zfR9QipCJUQXlFN6MBKmWlaJFrzqHBlcmENTxMrFg2O5Mhr9
NoIv6a9GglTI1Pd1zj4IT/zke8usHxahscsb1U+19gJ37HH7MWRBaNLvysp7i5P6iEPxCDGz81MX
xamxevdOhPDSS/pwjpRPy1vDQp0PRC+c4w5tLprzoOlWe19WzG36qPk+1CxQ7BRgwaiUH1PizYFY
qhcu6WGje8LZ27L05/K6NTWM5oNbnwcyKKkbo0vhse2M4UTHiXYXNfjGmekRxTd3lo+KHAALh25i
1S9jRvdex8PVwCc49GNotUm6my30Zbba1lsGXIdSLDdzaz1r/XD2hvQhG0DPkjH/VMbJXWImKRKW
cafFtgKgFIiBSLq7xYkeEM3eru3ILaKlTUDUbLzx0hTLdBddxmjdL0WkEJ6pfHStkgSq2eS7xeKQ
WjWvQBtHpG9s9Tui0c1AM5f1qoZHki31EtbQ2AAUVYZfimJA5D1do9X6JBb3KsW4CA03PdlZ021S
1TkSJKsxXJPpaoRUadwAgallb53aTOHiDTdeZ74IJQHzwpW1yZYSEuRofC8XUC55U9+NawOq1iGc
CQyo48yQcSqyu4ccjuy0VnvF5OqMZEnXF+lXsegrh6PzYk3Wvc6q8SBq2HlFpx9oE42AIPTrRCC6
t0FO+2ppmuHUZjdpbBM8kt+VhTjDAVbYzTJ5nLJ8m5beBWN3G9oF/cTUTCyQgU5s2sp+mDRGimqn
fo9081U1ig/VsA7tZHDOxwP9hKJ/mb3y1GcQcMqyfCqnQd/q3ni/LIMG67T8Vi/mEU7Agj2e8CIi
jB1oP7dG5jYOKVnqApupfTcmcod1C8yChOKPVntiSAV4MKe7Eut7Z+jfWuyde09lDtp4zmUdBa70
IWGA2iGaR71ZbQhM/oCrjSvJGe6TakBV26jFflHrZTM6IFOwQ7w2tnk/lAOhwwn8CeLGp4Bs9YwM
vaYCs66eBTqyLcvXL7Fi9WKseMoyXQQiqp19nlceMS3gMryxJYJKpWNDG//BBrz0tZ6cEhVexTmd
LaAXfTujTIBHa+jt3VRRwCwu6kFtFds8rWY+pxSSvLEEqZUtwZIlzal0psNSRq9lNRN9Bitmqzso
8WeDq7Xpsg/bqejCJPzBqhjqmcayt6uuPdSNGeZIDQMGeEXo4rEk6zNdd1XWvnYuJJdOQdcc7WpK
9ttESW0GfKkHvXxSN2z6vXBWKuK3SIW4BXjahE6rHdrYuM6gy4ZDmbk7+mTSDvDp+JFYlqtkHD9z
IP8hkzbjSofWDNYAIRp5mhVBq9X6uE4lnw2ZsKElx7DM13mu6kx/rUEcjDJiSa655F1Z4hgX3lXk
rUclXUtJGujCCNJYV0YQBZ17V2E8ufZ0esmI7pL6/9KMyUOlow9gqlqEBAmkmzFROtYMw4fdlkzt
SOndzS46k0WLBx+4PaPWIrkMKbIY4juDvE7FrmnWI7l118QjBGRvXQSI662RtSoRbrTbqdOdPSv7
cJHKFn3EQMLxaFNtBf6HYsGidxe2EDHb4ZWht6pOT9qYv9W5cim69B66Q+2rLEPBD2g2A+jmqyAW
LC5VMxwMk1C71ORb4soIpkL91qR0X2JMz5EHFY0tjwimFjRaHeXHyiUkL5uz+KlNCiINom82zdRG
59Z1ivI7NpZvlqGQ1zOcmx+ihaH8iCzd22oeCgKvLJ6YwCLJSZEk6Ipyu6qNGihFetIaC2JYnR+L
jkrE5Ey1FMEDTNO+ZrdHtR5du9FS7sjLvcIh4gVtTnqqVT2XS3eeKx1x7FKWZC/AOYu6q7bXjlZR
fiqN+5010LixmaBUrbKP+uwLjU7Ys2bY9U6z7Rv+71QrT5DFrtf4WGb0KqODqjF/88bsPQEsDn1Y
Re/vHDAiyavGjf3e7q7WHvySk/PxlHTqGaOfeeV6TiOdtliHlQl3coNa6T7NYv4yD3BRorDvCrYs
pOGgF3bTHZXbKxXYIZ2JaKfSQVpiM0QG3Dk26Y3dupvIm541g28OBB0uKAgLplY7oxyAqJNz4UQk
waEwJLoVlWX1pBkceB7uStghZbC4xhkByGM3TbSjPWk9CgT2JvWuSWpH7IT6l0XVxHTO0hDvlDvc
DPSlksqiTeWG7gJRIplKjK25daoVHQ7i7PtStLw1tyLXkLpz4xbpVqkMWT10B8dIrqYl+55oVhrG
k3uzaNmuXne9B4zd3XWgx7X52lXyByJjUWaZZumjVttlmSCEBKgSqe/vhjuF9hS/uzYMMB3YgBKp
CR9W+0ZOBi4TfcosDmLRHbl9oCgxVqN/e9IaB1FqvXH7buvujbjY6/i+xJAHkWs0t5XN4spXK8DX
29S0NOU5EXWt+sST9N0V0pypZO41CVdAyRPKcrvw6VSqlSqBGSHyiFdnSgPXy6/qiSnAnCvcbUq3
Wz3AW12thIqTkS6ZK1OYmnVglvkYRKJ+wVmBTdUlqFkssbYt9OzR6Kr7ybTnENHF9zbrns3UsbBh
aLxTIHKexerAMd+aar7MEjOXSOBckoKeo+7q/TwHR2dNgOkUBiMcJwz+c5WDrZcAO6HLz47afPSW
Tewl121H3lUB9W4enLOAgudBw8Pt6G0q+HgaqNXeM681Cc5r6uadswW3H0y9HLZeLyF7w6h+rRK7
t0oA3yLcPYulC0p8gKcJ8YG0Ehvqmimwo+qzm8q9IYF+mN7WsIXxZ7bFnZ6LbSXhfzAPpz3P3WsP
LqADNM2v8JLtR8EdLeGB/Q+MoAQK9pAFAbnbGzx3u0ZCBz0tf81b6GDJTd7kPAEW1rwGa2AcZp4r
zkoPIKli51Ja2Se+RZQNGtYDcId1rJ4t0rHYsZ5N/cZmVKeQOtxJRKKAlZjDgxxgJw7O8AhtDjUP
VEW32822c494yafuPS+wF9MGlI6EMRpQGVeJZ8zgNPICHxPZ2jvUgttEwhx5KryaEu9YrlDdaoiP
s0Q/9j8gkOV6miQWsoUP2QgVeVF+O5FYnUuApIAgX0KULCBLpsDmSoma/Keh/9HQy5XDXzf0p7dP
jDb/745FftWfDT3rEl2XWAjdQo5koVP6qaG3ANGYP1mU/9XQg0WF021ijGEuL93Df+xY7N8QNYEQ
wNNsIItgDPA3fMimLX00/5L8/BBDuDLXA5GUKnk4Ukf1U0OvqNoCu4gAhYhtriNPvQFjMovM7ows
8bnhYGxmsMArR6Ujz8yqhAxcj3skX1+mPFUnz/ITYyJk3SmOc00psXrZqUqEGmgcypU8nQd5Trsc
2OwIJCLU87aggj+0scmCwR3PA6F3QhPfSK/9rnH8w2LGVhgnr7ZXBIqY4qeOkF2cLvkxLqfIdyJU
lbzsOhwpLWpZY8Sa/o1GDa2mrD94DvYBmalmyLTiO9K6L6AE3PmybnFrcrlKSpk6T26p695WShxl
odbxZNVTW+m6zSmELFkRjRJD3FCBo6av313KpoTyqUQOvekm3uIoa6u+0S64GwCrIUul+MpkFZZ1
CEtZnl+sLLuolTEDUySxaJLVWyHrOLgBgmp6+qCMgHCsjSmOZLcADGstUEOzB1w3F05zTnF1QKyK
N+B6Kr37ngKyLDUisKYuzAqaMoUiM6HYTIb52NT0Y86UkBdOQRprGDbimhoVOjqwz9HiWIHwHDCX
WbF411g4a2tkCupkPlA248rV7SxkmvmpyHo4xk3NEafGQS+rZWNylW1DAW3LQtp0m3DBd3C7yCob
54gXLrFK5V2UHrZBqpdK1uW1rWA8IWkwdcKawn0BrrDrY6y0RZNIXJjDOUGh78iKHyy3rP2BgMft
io2EvqCIy48ByAoKXHqGQnYPhewjiGZ9LWgsbPzIpzRvOHZk18GoJcxkH6LSkKSRhq9R9ig6zUoe
OUng6GIOMtnJAHG1zqrsbjp9Kf14XD8IOTSobNBNj7IbymRfNMoOKZW90rq4J9TYzC1m+6tD07El
wuRcTfjQjYFL2TKzOYhFSu0eL66vKfZ9RWsmZI+WssXBr+sU+6Gf4cvGE8JkejoSIz4c2eVNZURO
Vly5gSp7wJZmMJJdYWsW5h6J6zcv099VGkdHdpD63J+UUqH3UFBNmLSZK+0mSyHUlpPTsvjpPftW
XdbBvJLmDtmlWgyE5m7BgzXRbCfPc8w9r+cuNn8c11RLc7gYg3FxpvLb9L/sncdSHFm7tW/lxD9P
RXozOJPyhsKDQJMMQJDe7PQ7r/48G33qRvrVX4fmiujoQdNQUJW58zVrPausW8ocHNUAWpH0OPJ+
itT8DQn7ekqwn4xUYFWFMjjLqs9+1Y/bMbdQi+DRD8nUWBi4kY+klkEB9llI8GS+navwgoHNWT8B
YcLM/5Z04sa0cBCZ/nHwGXmAPpvneGtmxSHW4pOewusBqxstbGQR+6Kxr3UsyYxBxLAhj+PoW8yV
vJhO0SOD2c34xYmwa0f7qGv6G6qETZtJdTTZpNcU8lBp8skkZHMB39FZiIksVOxb7iGZu40/RRPT
w9Trus9lJIYKQzWhvEs6sOrGQtJ5X03T+Djh+QdVoLdDg/ncd75EWeUcurbOo0s2W5G/74Rmfwkj
/FGnFCXytkAas+qD8LMRE8LpTNARjBCsZcj1srNxELJhnBnbcN2tnRqPE1fhY2/3uznDo0NE8i4G
kI/ih73lmECqC6rwyp/ni6kkE3WG+Ajkr7jM3Si76w1OuIJcn0WT5SaMufQtaryrBi7yDl3bRkJ0
wReJ7dZTqQhB97WQw71wKK24i3GfQ0kJemQgOiBiOzn2mXSWda0/oUcaFlXJoJHpqzEa+bLrwnYn
cvibZRteyEw3l7JDiqxFKYNYBN7ZvlTldWuVT141AAlQpbdHDZ5k6bNJTV6l0/NEjV5irAQ27GwJ
ZOE+VIW8R0WvTyRuI+/Jdr6DjopAc/KPtcG/iFQzMNAVuHQHc9HtQ9UuePQNBkTOhaFaCaj+FtuQ
kYUnbUasGg7s49GmVE0IQxxU22YCQ4YGRdKpWINuLIsRerJJF5OkeDfyxjsL6W8q1egI1fIEvnYr
YhM3Ic2QEzECaBraI/ok0qIuK/omEuRLMlrcz6k/vKSqtRqn/DiqZmuYumNYz58dujAqugup2jLo
44daNWp9Wm+SQKdT9BlH0crR7wHZ1Cpj0dPnlVZiLdnVsrDJVzB/bpCsWQuDvtAlx2kzqlbR8rtj
qprHQrWRpZw2DX2lrRrMPiGYMKHnhMfO+YzXC68p2RHJDQ70J0GHagr+WyfPBprXzOKj1n2m5qqv
9WhwCyN6TYNg59D4VhpfDWmFAZB/rWmNCzPe/qkn3+tJJYX953pym7+Wv0BPqW/6Xk6axidiI2xF
r7HxYCtdzl/lpPkJDpzNP/ikEN9CpfpeTgafGJCSg/5ds8OXvpeTSHV9k5/FvxCWK7P3b5STBKX8
XE6CQUP7w8+keLXVj/uhnASN5JlT7wcXZkFOBWOAud42VhWVV5ZWxubaiYs2/MIOvLmymLy4h2Ig
e34egjM3Dc6aMsgYP2TPGYtrVZANZhdtpG2zqawt0L5LWLH7crLEuh+CK9Yeb1y/yRItI+MVc6uB
N4jahNm32OpgD3zwB1Ot7bQkf3YaeBskhJxF6XiVKWKC2zUr9gc7TydPmPUJYJBxCXVDY78qt1jR
zk0maoniMIDThgeuy51UjIZSM55ToA3kTzn7xvceanAOczO+0F+f/KDJHQUOcR8D3LCdokAgInlt
pA9pNWX0o0gRpLmLi5llO04QoMCDsRNgJQbFlxgVaSKztGZdK/oEhwF/balRS1bzZzZQJ1/xKkZF
rmgUw8JkxRTbEGKsPto0inNhNJFHEIjx5IPAQPM0rISiYhjgMQowGX2aMkWuLibFz9CK0NkUiqkB
Q2g/KsrGewieQcWx0hHlwsCAxlErLge7lGIJPAnXjLwqnGzfYjNfkD7/VRYEz+iK79FUIWIdDmEr
kk+l2aPpNYy3ztQOBnCQkRMmVbSQUHFDhneCyAhLpFJUEan4IhOgkRngSKGV4wOfJ/k8X+bCPUEi
U0R/QBXpgYDQm1GRSyBSp+0K74mIz6AI9oxFkiyKFnWeVzGm1i4LxPmELHeft77NBGGIt4nv40Qq
IhGcTE+LD15WkfxAL73nfan1tQ07dgtmL7gJYXYEy1waE5KaivXSAC9+ixzEzld5P0VbQ1YxOrCy
Mc+8PO8pglx/R+Su/vDnOHw/DhV14p+Pw5unEjTfMn/6VY+tvvXDoWjqPjtuVtP4V92PfgPzE3tv
DkU6cHVg/rA0ZxtOK40dwDNcWGB/H4ruJ3YuFjlYhFnDo4UQ9huHIvTXnw9FXycoAZuo5eBZARD5
46HoGZGR541D+DkGtYXZ4ewnf0HCsC6LBZgiYz+G2QbGyh6voYk3vIwfi8BTZ+PGD7ptlVfnXi/2
qaNxZoRr3WbumKdedZYnXnWRJs291O0HP2D8/R5jjGFvPcjs9hvWG1UICi9UZVXq0e9akJsbHIH6
GlQ0HAAWgjp2P/18jpNhFcz2wOUfM61zULCUekcAgRGs5xQhtxGxgSQ3ZQ5Zjwa6U+2QYtF+hjYZ
IMCaJTRBDojWWcVTx8p10O8GErS8VK5HsyMDFyPf0oX1guDSeSHMI+a05+eKAM1UPyBSJMWA6K8y
fQmSwF/LkGaiL6hdaFf27FPDPQACGEekNFcciVtm4vnRcciTI3YE8YzKmLOb9C5RqXNa3gGEiNKL
CuYUqyhELTM7Cre/bRLhLnPC61wvuqiFMS4si9gIZOzgCki6IyqvX5Uq/W60dbEMGsmJLfoTtLR6
mRFzvMFxr06CAwzW+yIdroMU6H3IGHkxj8bOU5l7kvC9wbBOUTmfzyqVr6fNo85rHnIC+8K+Qpia
0AvhtECxRqpflPVAD8j5I4E5wy+PAaNWKYC56e5TYgEzlQ/IoGUkiTtaC5UdOGrVi1BpgqbenpvE
C9rEDFZ6cVZgIDHy/mipHEIy0I9i4JoJVURhgjjIh1G+1AfZr22CDFvynNBOboWwTp6DM7fjIbgU
Kv0QjMcqIw6xSbXLTOUjzsQ98+mRmYh88Np0zVNQ5yptYZiWtkpYNN+zFlXqYq7yF9MMfWVOJGMb
tbeTymgc0vIU2eEXqdIbc83fRi15jk6n39sEPKYWvasBbFiq7EefEEgaiTODUMiZcEhBSGTjkhZZ
qNzIsHX3kaBFnYmU7Pr2IqlaoV1VDKLmVznl2Q7Z/SrI6nsiG8VymIcjy0P7VPZZfUi74LHK9Gti
Zr76NXHogLvrOdpEJeGSLayIjjw13TxWeXyeVNVhSttzCJaXAyCElWjjfpuHPcOH0HmbXQ12RIo9
kw4l9PB2lMN8Y7rzCfR/u4XnMW6ixJlIpnZ5XZ4hebMdvbldSy/ejbN12TiPrWZEi6IP7sqAfJg0
OjYm67+ic/ZjjGy+ni/7mRDHISFMzemvOOwYQBHlYSJC1RL0M6EILy3CVIj2RZdGL1D1ybVneMtQ
RjdzjXvXbXpKhYnSx2wYWdiUF9sgMjCUyjzZWJm7zaMkUi0dx5IZ++vq3Xfdc+WQJYTylX5jUczF
pT9pD55dvlWN/pW4cXjsVX4/l9GZY9CVTILVABYUeogm9FgG1c9+rzGgz+ITTHaOCV2/LCqWIz37
2AuIda/wQ6c1OOjXvlXaQne6tkZZ761y+GJUxUbY+oNMvJOfi03QFvGqmLhffLu1t1MffS4nBM/Z
WG5qX27ZZ6/0urkMkvyoM8qaWzLmHBGe09cnq8TNdhX5SgdPc+78PsSJzQ4Bn9itoTvmFllHu5qF
Ua/rKZ3WQjNP5IZXl14VXDuy3U25nSzLfECYi9HDrNHIJZAaF47XrfhbE1SIZCMFRDbFgg1LJ7Eh
gZ1eI3V+i4KXhJa77azrjPeE5wCymAjzAxCeS4h9G50FNkdYZrMJp1wbZswyyPC2pM8RoZHm7LU7
7WvCj/P9TKwcJzrkTgQbjDQ3t0+Go60ZpBCyotg55nQ9lXSKBVoVtCzGirSXHXB6n9u2AUrDlifU
VplvHeMAZS2D0y96OydkWEG7n2z8lfa00WKmM0m4dWfZLKPY7Rn8IN8NovYlAwxAKqq1bRwkQIMQ
JyIUG66a+qZ3pjNbb9MlDp5tDzXPyerzsarzfW2MxEJN17qs1qhr5QbA7rESwU4ztPE2nmW/GXvz
NQt6Bried4XEKF3P+Wz9MW9+I4OpyuKf6yll3vxFe6m+6a9KyvxkYdmkh/vm0ORLf7WXFosM+jpq
LMXqVk3p9/YSzSKmXEsnrRtEqm592FZABTOU2xL1jEs/yJd+o5ICN/JzJeWxRQxIfbLVb8EP/LGS
gmVEpqIGD8gq4nthMU7PAaCzohOgU+di4wt3azCjcCT5X1NwX1SM+vSeiJIicG9TH/F01e2LNF2L
wQ/bleehOVsn8Vjf5VVgrCtTv4q0stl3zNkQyeSp9mzmFVO4kk04Ti8qjGnpqJgfN/fSXdsxUi36
tL/SS/AUVe/ejBmZQz6yL+wotIiltarjGSfeVN1Kqd1XTnlnMXFf6CYjP73hCaJJlOv+Acn1Ch3R
S4Ma0cnKcRFhO6hT85Kp0705tCXAMgY3YZedhhqwRh+Wb5JCjgbM2IS2F63MprBYnUwXHX4+kTOL
dgYLX3QVfxVjMa86PWRaRSpGpHfoEKrY2EC18rAWarbcjxMP/XiMjkbvXVg4PLCbH+feWwKT9hAb
xNR/5nBshvpzrAePmu2xGc+tqwzRe+cU91kyI2ZM57sO0+jQGzWBTeQd19UbhpLV0CTXQa8WHpgc
6qjYG4W8z1pcfNXwpjdsPHRNUj1YVr+Yk2HAP0EMiMUzXLRavbRid8lu2lyFpt4jyYl9/LE8tWcp
siVop3yBrWXZqY67IkUDBZPU1n6WzZDV0JW7uvcSS1IsLUNuOxX7grBzWfomAzFr1/cNYcUNQ3wE
IadYNIKcC9fti23n5DSraD/2Vtcs29Y5dVPG/LzCAReXw8bWw+cMNSQRKogHe/YK5fRErAe6Q0ad
kDlQf6H5R/buQnvRnnTK0WUzIPTjQYmwKniVWeaffN7YNaTEfmP2sYsbyNrV4B9u4pbK2uwIVjPM
iLWvh7tnJp4rHsh1ad3cZsrp4bEkLJzszw4qmXDP+8RnZmfvNdHe646z03vzfhx42ERxq6+61jTO
EWmmZ3VZsT0IAGTHDja+cED/SFCJvSTSNNxKggfO68kyr4jvZv2RDdsAsBg5h4cia0Me8uaTb7mk
x5QyufCI4cJ/ZW+kTyHfUaIaEvijM5bPsiXkZEgeKuAsQDKzdYRpZ5nilLywSTCFmvttePiPAJ8f
XWM4rkjeoNGib4NIBHH9p41mbU2MUbTAuMiLu8z+CmBkLPYfzs3Lb+vRj3CLX7wESEKXPEllHzcV
d/rj0lTW0dSmiWtfZO1zn13K+rYMvgVx/AEMGIwM//kZdUzKqOV5VHZJJ/df//f//efBxjd9f0ZB
F1CPKCj7hqueQ3zpr2cUdAFCV/hg1Kbd5GP7/ohyP2EOIqma54dPULMajn6fgL7HjXKpmIxNPcyO
vzUB9XgM/rhPZ3DA01MHW+kyXLDVE+zDPt0IrQ7KDXtFAHJWc4dQPKcnLWVhrOJY6/EmMrhLQM1m
BHNV7sSgcsyvdI1cElSoBeq5qcMC7+ksA6XvtuDiqoYVhTfg++qdFq9R24YHimb2EQwG5uyqQgpf
s5TBI/Rlos9eEvN9Ll0i22yln6e0Rsss4ufKYyZmKpW9bwQxVbi2nBDgB2WakR9PHtOIOD82wof6
Xa5f6SlKxPxdxk8KHIp+pe0fnAZlL3g8b3KXVS+78mRrEg4tTrRExZqaKuBUV1GnoQo9NSHoRSCS
l51bhEujLjftlIzLiqxUkWq7JKGdnEhRJcYs3eYqWBXd2F1C0qp5IlXjVJG+OimnfaACWcM8vDVI
aC0qfR1IduzzldG5d+PQfma/vbbZIAen9+vvz42oxlT/fCPuiNYjHLX7xb34gfRhWp+UHQWKPj5i
qjsOwr/uRfsTiwjDsUj9tZnKMV77z80IFs52MazoCF/AxSKM+etmBMBPRL3J/c1P/WZy+Y168cdj
2qEepWAlB4MKFHYdF/WP92LXA0f2Kme87PUDz91UXlftvzxsvmHn/hbQ8FfgkkZGz+LMMV3wPD/f
8JjE0jRr60trBM6G6sJp2YHGlllal7HOnlrBw6bsaq4S1z8nDNN7YDxvApzQHbmMGWWZB9Otl+1U
7UU8neHoJ7WM2zYxUHfT+0iZX4aOtsorbS9bmiVR3XQ6ZCoZG+tZeNdT0u5CKYpFXEybMukMdAji
oNXjheZnz+x6nzS47H1d7+FTP2CURZuZxHRi7do3c2LUWgJrpuat6T0mE8m4ylkXkLFhM44CDKWo
DTsx0M72Xnrn+TthtUv+vIfI1fc6p8fCMuqDmMrXvOVYCSf6V1m8hjUoSr+ou0WlT+A32mZT5/1Z
2Hnjyi+Vs25UKeSe/jy15YGao8CpUN4ORnQITfOumRitm0n3OQMOQsbN+NK69kHaTbkRaY28aBpX
gaBkdpLQWYZVc0Pzg6HUrrp1JK1TEeH57lrrKkcQwIKpf9BSazOPzBlYnkFxN7u31BNI6alvoABX
l2VlH72xsdc1TFgSekW6c3WA/YhiIkL7+nKd1AxnjcHPFjZ7XIPQWouPE1GNdu2MGl5VM79FoMMA
188eSdEk6HOs94HRped5NxoICbJDqxGRrhvCZksdnUXdi5VWm6BH6FuM5tKeBBV6Xn4OZzIPQuFT
P0YkJPp9s+oGbzt7zkudqIpSkinp2S++mob4afLmF8wxItufV8hwbjGLv9kcs7pIXhOB48No011s
NvHKmPxlhVhgMNtnI031ZWPj8YEjuKfSxd4xdJvEV05zKx2WdtsxUiSdlZanv8QheTdEPYD4vNvH
VtwoI9JNNHVihfqiX5YhPljiYdYD66dZrUYCP0XeocDGDIOmYPic6cgvE+m+pWnwhWGRgpUCNLOA
Uyy0MM5OJdHFyyhNqPgd/S6S4qa0nfoQZ9ZFlHveKq7ikYuVNGNCLLHOCyizI+8H2fGPmRveugPL
MyaMr7Yxupuh0e+yKEd0Cv900vwEj2yHGUF76zT/kXwBzJFZzPPSwGI2hbh2Yeu7FdEylsz29TsW
bbQbATSHdyOAryhunWikWHbVlCbIs7uMOKa9M0/ppWuNt0KYLIDq1wJSAIqkHIRw/dXoBA85j/iN
vkOblI3dsW+S9DOQGuDuIVog954udNrKmADpgqo80bTrpk8DtebLBQR50DqrYfSPmkcr2wQ1aWK5
w6yZ6zeyapBz1slunYJFKDIrEP5Ed+qKlHveVt5D7DuviT4JygV0vTbAloLJ9hDLI7vkJ40gzbFL
wBD3j1FvA3OdreumNNbAe68rw9qPhnYNan/latG9mbmPre9g09OPwRhdwim7lEV8mttuA29mGQby
K8pbujEvXWUt1T4E+WUGVNdrmw6/sLNBNnXuqXxeAUYFNOwKy9u4qIIJvq+vYbzRLmTX3BdJkK1D
s31tu3hjiumz1r46PVfi4Hobyya6YhmWI1nMQTiyQU57qWlrJtrevRcNE6PsxlymEZsWx6+7+jyz
rIeisuHzzmLtDWWks0Dh3CLB2q7loiC7ZNvJqln6OVM836KdFe2m6caHcczvmSo/QgSwrvTemS95
4IlNk4snYRr7uLG+TqF/IWZ5HuRBpMIL4Elg4FglzBiWWspolZlpcMu8Xp6iIr5JougZ65i2HMlk
Pzaoftn0dtDwSl0u7S5+LE0+xTG+TZIqXQWWduiH9qE3qhnPiFVsQkU4rPn9CEXg2bMMMs6AXsvd
VdvXJG92qFRIZ8V6I4NxHTWMHLjL289h0PYru/OKHXezvxJ5t7LdYdgNRjdusRkQecq8ZDuWesyq
tUbC12G/wk/h7MY8MHYski+BfF+3dqyUxtt0UNthLXxhBJoygzdu2XM/NMZ0EzmNu4c++lCR/LSw
ozk8/1CL/KIBo3j4UGW/P3SBPvrqiWtCEVPDqI9VtgtZBq6r6C8rf1y7xkXq37r81g6r+vTfqHg/
VhHqtZBZ0E0awG899ou0Dh9fq22rqTPZulz64TrM7oXcxNq/gO3+7SXU1z80DWMu8nzs8/Gy5saU
AEzi4Ytd3/z39+yXL8LUDJkvlAX2Aj++SBtn2ZSW43hpNbeiOpu0c234l774//9YeKs+vMRPrbcC
IkWGPY2Xtn9TiA3KLNKRoQQ9pfJfXgmdy08XwI+vpH6TD+9YHg9O4UIJvxRyXhglvkPz0Beo4NdD
gSJs/iZw/8eZgvrFfyzyDB+2sUNWggW/TsluPr5ch6JtbjpjRH7wYDDT94C3xUdZ/Fn0/6d//6+L
/n1RvzbJU/6LXuPDlt+goVAoUYAV7/KmD32/4X5C1kgiIoRAFT7Bd31v/GlQaMhRB5Am8R9twPfG
3yTFz8fJDgvwP7jr3+g1sNr/cI2gnkdi4JgoBjiVVNvx0zmBCLUpJ03I02TVcO8N4G/eqfZgPL/p
81w6lFqd3vF0t7DWzrvKzVhZUS6nnGCunV2HJoYXHx7GrjEGctIJs3yJdNw5SOqfAErfsBUuLpkX
Is6cXXNjOSwMaaTaU+W6b3Ht88QtzIK7gTAofIzW2msJEujc0YNVbzhnM6aTvVbmaMkhxpZyObnY
39M0as7Bb+E9xseFCTk7wpgoV209yk3jUM12gpFnDqx5CRuaLSIIAEBw8pA5yZlfdeGxSCCRZVqA
PQZll09t7UJIy+ASTQGCa0sJHgQ1HqHmXr0SE09E4fewg23tMef0rt2pPHhxf2u4sU6xg9kJU1W9
jAKpnTep+zKWPOhF5Rnbyknf5jT9gnMKvok9GARHh154VtupvMMwGOLwjdlFWch54vS1i2bzkbIX
ZTH2/s3g5mLltTkLc4biwM2CMjgCejHW7qhrB7ue9DMnKbttAjd6ETVQ/hr2UD6RBjd0Qmxi5a1W
Y4+o7NLe6n515bk4P2Fdk+fBQIjylC5uzjCx2frI9J+wwjMj7lkXyiZ2Hoc6wrWuW9mxC6XRbYma
kpTJc4NQk0BPjJKkoCUnaVCzI6NFJCwA/+gju85A6y5qPxBY95EtOfu6k+atZvZ5siesbD40Qxlc
JABhKPNmH3cZWzorvAgwmmH0yoK3wQiyMxPPvREV84098JxevT9g/kxK1K3+z5MSZEr/s0peo1+Q
PdQ3/jW2dD9xCmE9ZF7wPvX4e1RCnijkASRHQD3eQWwfjy8sOrqJG4jcHUiqHCp/H18O9DVgZ1BC
IK7hLPqt40sdT38/4tTxZVsmOikL0honpf7T8ZWkadzGeWedMPIVlFKZ6HAY966TKfD9WKNZGmav
Qdyg1yaC6lKCR6uUlZm9v9Wn3lMWKxuEAEyKjMPLDeNyNFrmFOn7VdmqC7SouvkQWeqqFeoCJlGI
a9lo9UaDwMUlXoRWSKaEq+NwyLLUuEm8ILePczTnLcCyyB1PjVU3zhXRa9sB6uhrONAgVXBH8mVv
+z0w0NQ3NoHwk+G6E7Lb2yRigS6bY8IIQ132X2bbA43piVg/mqjy8SiINFiWMOnX8RQIlCBNt0bs
mRydToIADWdCfNIgDJ76tkRlZItwnLeAb2ccjXF/yVnxxBbyi5dFLykRhmueOMWydp3XuoOXFlQG
IR6FsL/SZnFMIPcUEQyeWXc2Xab1X0Y3crnzdeK46AgM7vUxJTSo8z8bDAvQr4zhy5S4ww4hPYAq
+uQzCLYF2pzGO/dEP+3nuhZbm6xmdkszbr+sZEnp16DcG0gMwYAPIW5h7UMHaMc2hC9QHP2eeEcn
bLyTdJx5n9mEACVmQMZ9EG89BFSLJmJAY0k/XVYt1CQPohgn0CugVG3rD/OO58CFxRpkK8MR3lmr
CNEhQ4/Wnh7s2A6RZMwDpZKzrYDGkOk5Lbu4GenF0DjpcUyaQa6opY7nrFOtNi/0KMtuMClY12zf
ytdUt5tDIZLyM50GMJBEfC2ZXh3/nFrv4ko1jP3nU2tfyl8cWOp7/jqwnE8ue5SA88D/CUVk+GQZ
60oOoFvetxXM93rLo0hDe8Ta2OJsQgP+94GlFi1MSYmvN9/Pq99atBjuz6pKTkM0B/wOZDVZAMF/
agGsOK+NaPC68yJz402lwoWnqmACdiVNpF5MUYI4nN21jRMxhmo1ZOPaMTryiFHsyBIEsExQD3JQ
CImpBUGEgyNsRJm4MCZXEL7n5LG1JY0D6NHCtvOkBTERpoOJ4DGoyi9z4/b2pdf3QVOuPCIH7ePk
OGM7YfwSafvkzYRVzdDLSLjCFT41Q9AyPoybbdrWAXtmPd5H5LQu8JbYd6JCWuiDCBN9pQiuWcpA
VIzDMZFgWzC1ledenvXXhpuNz3rpODUQxzh65taYNnmL5g9tU8UArkLqpLGKBegXw7kxuC390ZJX
bL7CPaSC8ZSV3nhupIPSLNVv1ei3nBSm2TyRCIgRscMiv4wBLexjJ+1uzVFgqY9L58Wf82A7xPnI
3JIsEzR+bGxs69qf9Xw9KZhQ3uuTzXqJzD+n6yDUuLo8b2BdbjLSWzZ2beDsblsgjwyNrWc+pm4n
Qh0Rg1ETXhIEsfnFmtG6xfOckrtl9uZzxmTr2Is22kvU3g+W01pkC5kAL2rGLbNf9Bd9n73wlpZ7
wTr7xmgTPV+mhNac7BEaiONV8bkssmgVSSc5d5K23QZEcK7TOfDPZ8F8oxAlcxRZNDhZI/mCkz4/
A/rW3vdF1W/aIC3BiSbmybKMHLpP3Gbwb9BNGJNwrxhjahsqtvYSk069wtxeHfGZIjZsswOW2Zkw
Cw2esiOnt9GO851fF9FhqhKb3y31tFMC85uHbEtIC4o7Bu4dhaeQkMLrCACPDU1zMTkNfedsBuEh
bzT3nmHsZ2ii5pmp+fUFv3640TIiSNrKROPaNPqFnGMCOfwx3UcJfqgKRiVDwlpex40/rvCdirVM
+mkdDXO4aUGeRqs/J+u3k/W/1oNnT9nrLzrZD6WgqVRWOuYZw0dq9a6X+mtrhsoqQFQAWc1SCN0P
nWwA5M0wdbj6fFF/325/LwX9Ty4HKxkUCNnxhv+eJ/wX2Ytqe84e2yfXAv7uz1kT9HAklYvSuciG
PDpiLRThzTRlpdi5JnbG0UbHLD3Am4JRMFTDfG837BicXnN2GXz0fSFNZjGjTkeY5iTtTcQLL2wP
qraFl8132BmNqNaV2/WgBalz8mbyWKZc37gFKFLmjptg9l+ddGDGieRkFYb2jPUkjo7lNB7TMt9o
/qDqlbS/7oaWFmhyv+RTUC7aNA7WI4yQHMPjzGx8NKNrYaDn1l05r8jmHZZl0ey62TgP0N/Ai7tK
LP9iFv6eUeMNyLGtVrUPWuTXxzKsjiImHCm2k70RjCi3o6WvxTeF6dxFiT8tGATEnNVWzakTPXLX
7y2/Xqd6+GgF+VMfI9iSAxFqWTeMWyBy/M62h9qcpUjTgBdBWHoUSiqbNSZWnfxcgPNAMhudRGE/
NXF30cFr7Xij4RmRO1mNyH/D+oDFz1tSTe/oKIgTpMgzTJw7aHDXGTwQr7aMleXJwxxqD34TX8nR
JmqqS/d9hKNWeO3M/hwBgcLv1zhMl+lY7TjpHzMZbTnPKA2tZt5EktTpqI5fiIZrlrI2nFWJggq2
8SGn198i/j0va9tcjV0er8hwva/D2F5bzVvvSn3nZm6wpomlMHQQc3vGmzYB+GddeyHyXiD0YnQ/
eOLWb3yYd0G+g0d8lZMtFAyq06CgTbvaWzpRmS0mPZJfZDkf/Mj+6vEUWKcDdTtj8Ue7qQ9w975M
+nwlmH7T3D6ONSimpovfMGyDPRszOKFtel54cpe1UwC4yGhZG4yvk48EXjMc+uQ62qRm/yKpUkk5
tDbekL1ITCUVvB5Fp03c9nlgTnjGc56+vVAmoI6dcL4alTWIvx8GnVR+IRLw8A4NmOC8Red70Ogw
pvJJmR6bHoG9YpGpd3zGr7RIQjJTEMRsAvDqchFmJDzAS4x3ctAvZm6GK2pwb5tpPmhRHobkbpoH
y0qtJciehSX4npmMgos0inC8Tnq1JsoS35UjLDLODYmnyUqmPWsvZ+GIKjn4/kT/MjjjGnRSxx4Z
upw+DJsRvpKvRxcgsZjam8bJIpIA0Vlwha0PAkCengu3xmxgfKZckjeNoWWPJZH1C1OAHbWYKBhh
U6/9jguyca0MSk20GGxoyBPySB753LN4ZbhuTIKEvZIEKGPsh3NQbsQzVWC9NXnK0MJlAQu7nlHO
os/ZZJlJ+9z02tZAuIaAsNmD/7fYtPsHDePPwYhyf1UpMTYQoeaL6bFdhe044n5Gd2criUkZexCm
8JpstDoHTtjN+oswzIe0KEIk5fy/YzP623JGJp9lOS1LAd211VJ9O2BGRPmoPt/QLRZEhhwFLVI+
jucJd9RyJBouDZqreOSv1jWHDFb0etLaJkXYrasA8kw6N5QOgb+cYkgMlt/zCaH+hAq1AYopN0VZ
XMVOYsMmBzcHou/oR320GGt9mzjZoz40215rb+YMXSROIjb9mPBLIzu1fYM/EofMEqjXNqzrndu3
b5EVxiuHh8cKYjE3LIs28+RPxW3RpvlZEA+XJe8oQyzYuUWFbDvCWE6p9xnR0Ga062Mf+q9TZeJD
qIpDl40UCca09SDM/akQvlUILBD+ufc6e2rb118psfmuv7qvgBBm4o+ZyZjcaj8YfYlVVP8ZTxmD
ZtejZ/tbWUNJQVGN9gUdHEDYv7uv4JOney4/kUIBLdzvedrUdOnHcRGxVvxi/NtEbsnE6KeNyNAH
k4Z+bbyQqMa8dTyEKatjD/ZTJJMYKFV47OYsstYyHYbsntR1HKyMx5JuX8+JCg915+ysZUM5r9PJ
7ECujHVZgT0vUZW+TEytFR+kCed1FzUccXRKu8k1ouAt0Auju5Fti6SkSzwGDSE5rPj162p0ydPQ
Qm1eC5fIGuj42YipYq7YSi28PpqMdWFGzbzGEoiBV2G8qNczY9vrGajwZohs5y43gOFvAGCTT2xw
4JSu3e3+j70zW47b2KLsr/QP4EZiBh67UPPAKpKiSOoFIYoU5ikx4+t7gb62SUqWwv18X2xHyBSI
KiAzzzl7r12CQ9kO+tjG33vdGdZBTNWzCoKYGdfco9uGIAL3iu+kTxHe36WLbYkQ2HLsVkpKjddl
EftzSPNeZKReIKMznzqTwmuaMkbPyJVDFufA2Jhj+N3qFYw2ufOdk46xaLKAnlLJnxHchmO3a+FI
2UV/CAMocc68qAYREnUa++BRpIKYzrYTVukmAdhKd3ghgWEgHmRegCxXbEnb5RziA4hSnbmcmYpg
X0olvRgjTaB0UN2NU+YviT2ZGz3VSa4NO2NTF020EoS2cmzDl2GYbXpJBHKQyoXMUXbaIquqfuUo
gPIDR38JwVptUQvyWHSpjuPWAChQBPZCWMpTiSNra01p67G7OptQyu82+SibUuOIZOOog94jQX+n
DZnPRZHVe9cU8VJTwhgXEBjIoLCKfdJ3XtTGcA0JQKTO68dr1/XNTe8SHFTPuQBFn4E+lIaz6Fsf
Ytgk+TUd/SHNE41lD7CIlIbAuQdZBtsYrPESYEnLQBvbllVdo0ChjR/0zbUdcSKZRrVCPTWiDqHQ
wgYo3GFVk947N73K1aDaLYA7+OH+kCdbNZVMykmb2f5v2XxdNmec9D8vm3Oj/fS1eflJ32r+wT9X
TqorGu2ob+eUEoYu/NFf1ZX2H1NTERzarv5aef21cuo2y6Oj0aAy/xQe/tVoJ37sNd6PFc+lDYWg
/F802j+22bHWkGPmaIwwOexpghX67SS5bvu2yqyxP4viIgOD5dH+o+z+x1k19/emkY9eATkmBZxg
GmlraO4/rMwsnIne0pU610a8j+zPisCKcl0Trelf+u6qVldvvoTLHyOCt2L4V/H0L684/0ZvhvHa
4MgIYGl7jssWMNAYNDOClVRJ6MhFfd3Lwtl3jVleWQlcztpaW/FYcQoefHMFshZWAabLL1j6tB1A
F+JFKwyEag3vUnfCo4m3EKcGYAjchp2SfGfnechxIRYISSmgkCwxwsSiOJsV9dm2KGcDI3FWwdZI
rE09mxuRfuvroIyKjT8OuRfNJkh7tkPShpcLX4voOxNShmPS6boDUlc0gVF3VPBUYtnAT+I7lE34
LY2R2tfqr31kzoiV9G1RqJcOh6bmWLtczAwvvJt4iQjFVu7kbOrs8i8dHs8Br2c3mz5VYMQRLlCj
dPaIn4YF0Ss951KsosCgTkVrT7d2I1zKFzyH+W1RhdbWqjBNqJTgxMAozfWESLH02kwOxTkNjGND
aORVnk3mFs3etMxavXpiAH20GJgAzDqWdrQbEoYnrn+liORqnKx7NXXpPSoELtALWEst+maY4plg
KnPVm8aJJHOUmISUJ+WxwcnTtuNu1KOLmCqkftUyGsZjPw5HDIXFspkykuTN/lB34r5qtRXMDuys
8HLNFA0l6KXkKmrzS540BLswA5iSvSgS+Jol5/sEyxAOKfzmdZeIBdsQWS72HSMiwImKCNZaVra7
tu0bTLdafT23bI/kkZGn7mgHyKyu0p+N0LnhPAz+hzHWIgzlWi2zvZ9GF+gZt32Xo9vhaynm3Di6
goR2PTNzpgKx4mst6Fdum7W4Y+lCataScfI1chZo4rhHrd7Y9LJbC44ajUXGjSogXxW3GNIvmV+B
wBtqGHdp0t0MY3hjzdm3fbt0SufBIId2sE35qZwl/vQ8vuc6GF/f3UCGZu/3mbcIg8F49yKwXuWt
BatDBTpsuzugwkB9kAJbCppHP7jgzz8ZJsJ5M9sMwlxBu/PawafPWGzlTOucGo79ypXrukutV0CH
WJSOQQNwD2EycawEmemfDZBFGm+IV80ms9xMKYh7MyUaHgNtFLSMfJR9Uk+fUADgEkibqwj+VQzr
DqYqj7VP0d062syz/Uqw3qnAaQYkvodVXsN88es+Y64E0/N/m97rpqcxuPjnTe/qpfv6/PXHfuL8
U3/teLNqHvE9biQNKT5H+793PPU/jEfmwC4DMSfn/793PPqJmkU8iYVmZW5CUkb82U+EWSnI8JoJ
lMjmUYr9iw2PAfK7DYmNyCavluQIciNoafJbvN8e/DYqiV+JxnOUX/TRbjzNH/sFUMm7YdL6hRg1
SKxafmS8cIMk94m4bsWzlQmIe8jBEWIZoXuNu68T5o1CL7xBsZ44Sp/S1v08TdUdr9L3FvhNpVjz
1Md+TMushNprzZyNaSO07Fj0eu91fucSBqZf9aIKYTAKY0Gg+GfGr9NaL6jtVb/yNAws0G7NhyS1
Pwfj9MSZPvf8xN0iNr5LouYiXeMqcvyZjI/MLRnuimIgjrZr4PgydiKv4qA6MUHhGASzoeCeCcPC
9o7mZdc64RqAiQ8aKV/noXIPl9kjRHhhau5V6gTrac4EIDESrWHOVj2xjsRgKSqHFgdCmgXip+fC
jc51Anw7YB28nVDORx1hRWpZe1M1EP8Y6+g2wUuS3qfEK1cxH7MpAY+HVAYLt0j3NpT0ZdWr9VIZ
/LmYiJdO3y1TwzWXLqpo4H4T7Zr21hqBxk/S/IyRAadlEEnj1qWQYodvQa3TlbPqerpT+x7yB+Ga
FY2HqgGunMZNB0t7DOK5JAtSY8m8CBFPh2bIosFTjxuRDtup7wgJq2H20L1iUTM677UX7JvqnWGz
9ma28VLSIU5F7S46guEngxrKqnlwQr+9a/L8S5S+SN/cw0ksFqZR7wjRPgwSnqUV51scvcoqTEqG
enZ3cgXMtWTE9R6K+9EAP1Xia8jM8WulmtUdAR83QWbcqMRg9mW/a7VhM8Sxv41MX4ey4G/zOiy8
oNIPI1XjwlVKezcqI4OZzPmsdNJZWJWy7l1tI6IO1nWEBcLvd5NrJgtRlDSjgpyYVXgkXVVuogj3
AFow2jH+Wm/ZzZgxUZC0n6c0vU9N7Tvw6oy4yuoBrdER+ukdwIjHIJMX4L8R7i1nm+TTQy3hyIgi
3CImsz2AoKt8aPZZa/M0x9NDB2+KRLGvzRitMLEc3DhakirxSD5Gs/T1HtSLgHOcyjmvRN6FNVtJ
2Ro1v1pySGBNlhNC6cZ+rFw6aYiiTnSub6YQBZQO03BUho0YRy9r2y8g8W/wS69tcsc5gZ+HUhAa
Zk3aER4eFEkrB+7UQSoJ1kn+nKArazuyUOoZ4R/NzH7IUcvCBHuKs9QRBFq4PVqNxq4fUK/BLLC0
rxlsLZS+CRoCQhfUNKAl2I2frImG3VCkdNel/Ykc34NTicfJCU+pO1zrSKpVgkoWbuU+E/KyzVwC
4Cy72nVtxgPof0rjaVj5scbUwSh5odRPPMYPMCNClgXiQSLrunb1ZxcWAmqF/lL4pItktYpNI9Aw
Jvi5uUgt5CEO7msE4EOKVs+9SUhnXYTIsnZ+F4oV3WESdS33afCbr0laXXxVtp5vm/6SzALfy8bK
XcnYPJRObVwm3dngeg7za1Qu8W2Zq+RAgJsIEnIIiuIIyudJzdV9m7bjlkOFsmoS7YqwlphzC2kp
Y0ooKPDJF+I/plVLcukS9x6N64aQhxKm6oLxP7J8E9OFb8jjpBLepqkkgSBsD5sbGdBwJAtiZ00Q
fsh+KzLuMgI+QZIOsViTYizHIFjGYdZ6CC3/N0D8rxz2l1v+saj/z//Ng5f0pf5x31ff7PvoxiyK
PLZ2Tf9RoeGi2zAN+/VAMG/ufyo0jP9gi0M4j6CZCd88LPxr39eQdWCYFghsmfqZ/67SZcD5piqc
p5EcPObxJi5sepVi/vM3VWHs2LTVcze+4gWbTJukxI1R3b85C/2s9nS4kR+uguIW76FpoP41Pxwu
Kp/xozmZ8VVTxFG6LNBXwekEtuf5upasYr3Gh88M52gHbOMtgYleOvmHjjHbjSjD6xS3vGaG0bEX
ghmhqpie6rQYd9RIeCIId72W7doOck3nbstWPYqpv65H7VRNBbuMfo5ksBdxgoekm3cxUblre26j
+S00eQRVz+qAZQkyLX/YJAP9+/Y7RZ+EumSBBpQw5lxmPuNisKnERvKmrH2vTNnG7wd72ShQg2NX
Q6DRTnRHkyZHR6wZn33dtTd2aupftIy4K4WD0SYSSWitwrYqU9A9VXJPbYoLxCGXaRu4xKvsVB1m
PhMU58oa65GWPgkxbOFOSNy1XurO50mrLPx/WrqRClSljVr0OGY8onsFu0lrZs3oLwSxrGen0pQT
f38J4xre0GwjKmaALFOFpdUye0PLQZyQ7URbPTWSfYtUwrlwvVr/Yo6BXR+0kSxx2sX6TWFLc7iE
KlScKhjdgyste4/VLHhE9W3cd3ZIKmSK4NBocjDADgIZyUHN7KetQ+cZIFhfuxzDOGRZuVGuiJcy
llpJjHjawgeugmDcdZrZXblta68aPnM206n+WjNQHkbACuPgaGwN0U7B87VC8oRjmkTSG3yD+1hQ
jiLic2+Qj6gLBjaENowukqOSmndIjGVXqEu7iu4J4aZlMGXd0qpgiMNY0hg4U98O6RDtLYJKVzaj
sU3TpMAnXNgOddhpc7+j3lh6t+2NnI1koMANGGbRSc1OUZ6eiG/J1/DKr43C3DlhGy99K90WEXq8
QBeX2u1vGw43d/ienO+YLZmBJ0urH6zvRdQuzaxeJn6lfhJKuw6shojQIuFMCHjbYTI1MKGrrfK5
rpuXPJIvYzx+xpi9lHq3d4dszQKCyHzaGIM4jU63hBi8VU3tOOElDGT3JMyWUbWyTnuVPis5R+34
DRAj/dlvvmjVZW+lOgdMggwTs3s0regpnSxjZdVJvWdKGSyUfjpqmbbTA+1kle2S/f6x5OuDk8Ts
yrFXfmetCajctmKCvVyvgowE2UpUC53kqIVa5wIwHvhIdeTsadsX7vHGJOZxOURTwEwa5onRiegU
GhaZF7523aR5feqr5hBoAw8zcU5pNdCE8OkBO9l4cHmJRGEvNFcuBzKnnFKHDVfcK1MDFM++bbXg
Oq/KI/our9PcY9Z216HLRFwrV5oPECYISHUfOR/GgGW8VhYcGaW4SpTkS5GoX0rg1lGdQBZz9nGr
XkOMg/GG0zNNTxChvSqtxsNk28wcOHw48MGrxN6289FcMn0NAUSPU793imncVVOe74kvg+IMaksh
S5sNmURPc9CTTeWWG7/GvjeNSrX+9cr7E7+D6kC+ePVx4w7g3+/X93BUs3q0UvD7FbVFl7ojxrox
AU3fpccm0/ul3ZHlVIQZ04HpRS2r+rqqEvHJmRwqrGG4aWV8FAM6Ude+F0Ozoc/1Pad9Bg0eFynh
uWQdj2JdTDzTqR+RGWTWXs/gBQkuKjzbabYErjwRQtd6pJZ/1vBgrHCzUQrBSV+kuddXXj3s1JJG
U+PnGzWWG43U1VQrNnVmP49pdouped+SKzDV6Z7G1dEui6NTa+6m6UfyNcZoqw2h6dVkxVo+QR2h
EW8Cdr9lLeobY0SvW4bWXoQu77UeCAzOKicqOdzFUWeQKIDMQRu1sxFNOa45C9dFNAN8pquwjnc0
XjYmsuBllHJAzBOqKnqpTCiCNXKtlRmUR+j3iGhz7Ryl/SFtsy37Gj7nkhy1YqxBaMtzEqc3WNfm
TmOXLi1QMJ5eMtSQ8hLpdbfMJoQxEiyiMRqYHoboq0u4W9TxMA08oA5CjySp5tyrDS2zOT3+Mc7G
ZaYTFUs4fc86pNcFZad9FJXosE0oz75qgZWkcrc4l8O/ydQdEl7WsuYY2daDJtK1EPCqSeZ5HDNN
9eJ6TNBiBmd9MtUlLOA51jB2tnS52s8F/MUDAl9JtMRvaS0fW+4cRCwk8kRnzhJ7YyYRvDuIQOZF
e5kRQdVGSz3eEyWx+PXL8KHljoHIZjiA1gfIFZSRV2zVm6OObmHvcdwguEqteKFYZzjl26i8kei4
Y5l6kQW2Lv5N2532zrujDzfy4arzfb+5alsmTWnoinISY36LM4lWCf/BrvjAFHNchFjzvcYx7y1f
p8ohbrMbgO6meT/nd0WFl8vpoVDsI71o4eEjX6durz45oWEvMxHfWU7WL4NkPNip8Wj5yUCtpVst
T1NerNrJzldOqYDdKnG52vk47trB1p+KPG7WiLX0VRRF31Ke1VUlrHDJCjwuG4CjHqPj29ZIJwQt
4OqDTttlAaiEsXlG/LBlU/pUS7m2EKovNJqdOlg8BFWcUNI+zzfj1AqPCQpaid5kVBgNN1qY4xeK
iG3XEdKTynPgof9e1b1GFRTtpKGALTI+DROWa5Hszaagsz5jgiNfRyfaRMR9teYumeIDCqhlPvra
Uk8FBmo/YZUV990cGBDF2ckJh00u+1XnTzzBYpU0QYZitIQ5lTnQI2NnKVP/VILZAzq8VYsZBRYM
t6FFDthQKp/ahhROXW+EN9nNRikjek5t8dUKqpMU2XVVQrhuhmZRq/vOJMGoM/WtjYhmWarqXT6G
28En+KKT7RVtc4NsP/jT0nih0qWIJH29Mo1NUBpHm6L+14/4Kyzjb3/Ij0/bfBB/87T1MD46DWL1
KT7ml+BKWVeH6nO/mXbm1jo6bD3eN3oyiHFO+Zf+D43+P4605g7mm1P+nxe3kdfSrbRV98OESYX3
lScQnE/l0lzkR80r1zAC1YNyb6/FStydFe94361i5IJf+Ud6NR7FYh+tfVBXi+w3v837wuaPX0YX
HC8xG1JGmfN7+eaTGEWPlkuNw6tQXKCSLyJxL7s/ut3/eMfv16wfr/FhTDjJrFXCEPRoUb0EcuuO
17/+On96D3iKACKhF0HK8f4essGaEJtVbN7KpXqdNHHm/GOF+p8fzODT+ueO/X+x1Thrfqze55/8
q2uvzoJelL4gDS22Jr7iN3NqXbUtfA1Yjd8pfJhTM0jk+XBtUNIm+9nf1TvUaprtlNqze0sV/656
18z3jwh/0yvH34RiRRdh/lXePyIuhx0rcBCX50NUrNXRkkuppdoyHfL7SOoOmb80umoNFGGa2LgY
zWZXmer3Dv4w0Pis3/fYyRbQm6Hgi3YbFMHK5PMg8o/JbpG38bolBCW246feB8muYuTiBJPRiWy6
fGWTEb9QytG9hFV2Z0qHPHpsDDNa4Tgm410QoIcV0b0f65+gHednWwU1UQxYC9rIDlZiUIFapOG9
bwQJgkL3GujxQBmtvaiKpBTSYI7mwEfRERzichjXYshXSj2gFu7Pw8wrTZXqqgMqg3JlY85E0w60
aWbPXD5Ec3IsTrUJ/TRo9E0i3JBGYP1tnAmpRRB0K3umpurgU+nS3xpkxYUDXFXXoPKXMtp1IFfV
mawIvuSqCypyi6Zg578iWodsG87Q1iFpQ2JIkqVrTjf+K9h1RrzaM+w1jaBKZvBf3TLaA5ypSJ9K
VxOE2HhGxUYzNBby66afMbLVDJRVZrSsOkNmQXysW6iz+oyf1UEDwrKkwwuZNqazW9TPGrxakPYr
+F4Df9UcFqjWX8M2N7x6xtwa8G5jbDQLfVZd4lSGLdJlDAvB49JZ2DrwcrFqFZcqU0/VjNIVM1Q3
mvG6+CO1zaRpn4wZvZt0pCnB4oX15e5BTm8TWq7Uzz7BTLT/HcDotHgOiI8uPWTfJhUoL/N1MSN/
SYG5dw0gwPmMA/ZnFI4LIXiCFDxW44MGORgS8xdjRglnenfTzXBhFcowVx4wrKQvaI/Vcz6jiCt1
vFAM67RiwpM744rRmT4Rt0zlIFVtR+yO9SVUMntV2ZRiqzFH5SOmtTlLGiRhk1dBp9j7chY8DK/a
B/tVB6GXWHZNy4Ex7fRs6joDARsIyrBtdH89mpRJui8fXaMniXzMUSyUXAJdWNkmW9nDPmpNPmIn
8DdKFk53ekkijKGNPUd8+9aprEOjji9pWCVLNTFvUp+WhjV1K7oQV7OhXMW7skosMqkZXTzHU+nu
msJ+HuYoLd2Z6qWJKwmeS33dwEDiRTz56AaWtuzLPW0ZoG+2sqgSYxUU09zqdtqFOoz8xNCR4NkH
4zpW/e9pSW62HMGLZI04d2FbeHijoHVOGKy0XKwmYVVbAraWCiGMhIzu+1irl4SbPsblRKCq1TTH
ENLQSe+l+SKEn3wqBLzJtHNGZY64hSPyuij/b3fS2Ej+eXc6veTPxbco/4mIav7BvzYnjS4xkbGO
ZgBdeL85GXOiIUAFElCYOL8Fu81zaF5ffHmvjMW3mxOOQc5L4r+8t38xT+bdeH8YROBk4gvGlIhY
y4XIor/fmGxMGA4qTuWsKnh+mwiSvTG9+D1NwsRMLYQ3Yk1DCKp5gEmYOA9548pMudbsTtFBJhS5
fRMQfeZgmhhJNalVeU/SmT1+MxWnwd3lz/hz9N4xmSxscM4Eop7nrwZ0vGGnlNhq0YrDaRxWXam4
a9aHh7xMxLegQlteaUO5Lma9ed+ifO9mDXpT8P/qsy69TTT5hRwBtOqzan0CZLLvc3sfxyDRejSn
JORQtyB2b7X2CTicWHSzDh6ULArPGROLRH6ctfIZttnQNborZ9bRZzIOVmRQQOQeR2Qbs95eMrzD
4sGLPgJTchDELrRZnz+x6JBCUV9iYoQJimrSR0a3462q3kdGHSF7R6xTBeESFvN1PDU5sir1NIqY
aWYfnXuSG2uQ9hZKL0IGEds4s5fAnl0FDWCGff7qNJg9B2SviVX9akSQvuwXzuxO6EqarXwtyhnQ
Ghs6Joa4KXSvIRm2mv0NSVcM19PsechrI7kesEEUsx/CnZ0R/qtJIpmmaK0oSxw6np6DAotnO4Wc
jRXTq8diGAxnSdwezos4hFZJqEbp35pcdtO95rzwYOe7XHbdJqvxRPiW4pwiA/fmonH9UwJMyclP
atX612obPqahSWpubn0NJA2SHoTECurgY6I2wcpvyu/CzTKvUYIjCzBwuXg8p7Sg4NZl38PJXFKZ
NucRI8o8z7Y9QzoJqcoJ3c/O2smusvdg/FWvi8fbMMZGoGXZxgj5hyvJihvM1kEU1Wts623Z8ws0
WkvehOx6zTh1ZqnsR93GCYNY92K+8gclJSuan8HUPa3G+VjGaXMEjklgJQ/aGcWqtZaVWR0soyiW
SlGQ0Ei9TG+t3eCs/TJzhRuOUNCIhnrfD+yQaReoa9PwnSs8Xmslc581pSa2Kbsu2vYOKdypLm1a
K5pSXo1KNO40S87Zk9NWMeEzk2SQfhKx70Ovf2mU4RCl9KAM+ziGhbuy43BTDePKIoeOez47Y340
s+wLORsHU42OWUiKWdSa/il3CCbMrJITTBjchuMQgE1EvRR326TiS3JCduEeeZ8S2/5CS5yvQdvz
BlrRmS0LDF1OuaM0XYbPnkhwK90hv1g5Un7NGN/3NGgxYHy37IilJVvLyV6D2vJEB8Y40ABywzYO
y3hn4/Z1+8HrVabrYUMrgqC3OycVZ81o78DQOUSGuIVFrqpr7X1n+l5W6o05tTsb9paeZSurIZBK
hMPBVBIPkfzX0NI3luxIyqCvHZvOpU7yG6fQnt2EdzhL9ZfGHW8MhUjmrCo54kxYPg2v5Dumh4at
isYjzUJyLkRJvzT7hk75Uz8/j2oS72QbXqZiOGfgC/GXcdIsiMcoiCDg8qkprrN8IJJ49DTayrnf
LhVO3OGkbOC6bW36NlkJELEmFcCc27GoBS2n9VKl3Co4nZLQXiEVOeelcFa5KDYYrWl+tcFFazDe
dMF24FSRFcqRWT1z6egrvVYiUgav4hXBAeH5Ul3Ckff8BjlH+lL47Q3x0jyRYjsKoIF9/mBWdF0n
3L8G14DHbfgkL4OaqhtrbXTm0gyGG2Nw51G+xkkQ4w3B2psMdgDwBp5An5OYLYjUyb6PlL6scGtC
xrw6dJaWgyUsqMOdTnoCrKcHoTYEpzu3llU+OCGykG68bjMABOVLJUCNoZJf2Hq0hlOzrv1xmaDl
DeG3BXp4rYOgKTr9RvNJs1WahSYFU3SblBexVdxu69TKWoTpbUwic4PQRfKb2tDZFpZZrnwF47Bo
17yKV7XrrFW93us+eT9DtQpKPrAh5/RV+TmWdO1b3xYP/FXE3ELOHWujJOIshHET9h4W9691XkM5
Vw7Ab3aTYjMVtMNFJxOkkGwSYYneiWhbaOWWvdGa7j5r8y8NdsURXQtMEoT/2AaLRm5zx9yJISuo
8lza6N1DL8V9IeObQlFJbRxIdG/57NxVkDdbuzF5Om1Ywd01kSmHktZ3p7S3pBVtncE/+3OIm5Ht
O189Uec4i7yFkZeOF9g4O16wRdk717F0jzjKHkuLkYakv6W5zp0vUWHI+pzX5g3mO7HAan7bgvju
SpKCJCdJ9IxHUjEwPldi0ZPHK+eFaioexqQ5aNLclCVwS/D3MYKwup8r8pxYxvxOluNe1YqDopEG
Tj68/4SRJb2tEfZ7k9bsJQ3BqUdEhjlVUeJn0k3v4iYjOZH+/QIZxaPBdFADVxxT6CaR+mxlANWb
6iGR4Q7I3Jn1FgOFTEgoqA/mNPf+UjvxJqE+hmZdrl09+ZTJBgLAkGwSXb3EiRNTuQKjR762pvDf
+onl9ZqSraKp8DpG23bQk/c2anO0HOF6+WUIrE3sD/shH59LhVEoiewNSAPc8XTC/JpM285Gyxus
ZKjkHlGyzJRbL0vZJPDPbjvFee46pEiR2EBXWEdiWAGKZ/2pSfUMhmk9ZPlhbMinacxPZCUzwm4I
j6srkCWJR2i7ss/RZZeC9BGqDqkW1NHNaVL6x1qW35hvMNmpKdfS4dQZUPIzwfb35kj7E1nA+9bF
LIE3aRVqqB7BU7g4Q96fEJteStlGuXIWGcG9yaJIbhRCpH59kXls8KYh+t+LWHDwUTI5KCreXyRS
MmER+62cB+dJEn7bPg6EvOhEE4W/udLPDrx0Pv+60ocBRuEXozr5XEkDIGyMi9JGGDjtCutz3H6J
Cus3rd6ffnq8TQgq6GMC63p/Y9T+reOnRXDplC9Ne6iCb3n67def3c/uiNMyh2Uuo+PVeH8J38Km
6o5leIFyG/ebljC0lFT6LNhEsCC05je4yJ/cEalrFC04IwwNj/z7y835z9oomugCfX4R6Rh8gk2Z
/OaePrRs5+fh3UU+jGNqX2lMy+cisZT0DI6xGy5//an97jbmP3/TeEb9iKYSo/BFlidCsLyk+EQz
5jcX+TDL+uE2Pnw1ZQK+vsvq6DIohEWZhBldyF5kgXs06e3UZ62tf3PFn90WznjsMFAHTPTL728r
iRzad7EaXezquhKBR+fN9r//+48OX6RF4B/PAdi/99fwTV2xnE7GF7ogq8zCe1x4fXr364v87KOD
NeiaBvCS2Xvz/iJFH9p2FIECluVjbh1DKsWYxcD1b+P2YOAr6/3ftPHnZ+rDGsQS9/cVP3xZjPiQ
BKgj+fIDw6L6HnDEbxYD9f23M3tFTZinSDrQk9GR/jg9rQsD0+KgZpf4SCzOjs3zBBxgZV6HN6YH
E3sN43b968/x/SVfl+93d/VhvYPXkw348OJLZzEDJNpMc1kUiu2vr/Lzz87gI2HnNK3X/vebt8ma
CIVsGHRe/Mr1NKLEneY3n9386X/8dgx1ftpwXNhkoLx/HkqCHtQRD/mFbtpidDROm18iIyDYJ/7N
vfzsE3t7pQ8LHLPVQjJQiC+q+RI616Z/W02/Wd5+fglSNVQXTSFW4vc3E2FRcYwpSC55fjYZvg1I
lbXW+s1W97NXiIftr6t8+OoT2YUNitLkEiXfUgWtg7KSBk3W1kuai5JsUvM339EPt4VrArieIVS2
ItUwPhwV4OnYxOyS69d0m0rCYltV082/fNA+XII229tlOweHrlthlV76KV+oSrAciYn8/7kE9D5k
eKpLn+39JeJhyJSUSutSp9+UaWf10W8u8MOjzD0A7iJWB0Ohzejz/QVYOu1enU13nPOy1vTCeBcx
Msjdl9cb+V9X1vxlV/YT4QQE3vw4MJx/7E1PliVYzA8pbVcmz28Ghvp/LA0iyYyBxK7zp9aXpA1O
PCw9qqHBlAHH9ve0EL4Az71ArQJ6cu7L/huTj/3qW/17rWNaSHVDwLggRpwscUaG7x8QJWekXFV1
dsnV0gBD9dqgGttI0K3SX1tXw9BhiUjt8htZpF+mYgo3g5LfEjZFqqn9NHbwF8s2oIlH4GOJKAPt
SrpsDfsKiV4FSB1VblGSLgGnv6PWH+HClxaWvRI1guIjb2Ht8GK/ONdoSRQLpYXp9s9GqRSrkPia
1iWeunCiw2BMTL3c+KSU1UWKApx9qKPHaqyOuG7+DFjrs1LQ+5WtfOrI1ZqyBLuK5jwpg7oO+4bS
fwi2Nuy5nDxUgCGhj3m/f+wd5S5tRkQliXqrm81DAA50Q36bA7pEt84B6/SKQ2SDeSaRK3UMvhJc
gBbNRGfvwBCJIu1cGASfh5N2i6WzWoRtdE0TeJ8J88Voso0uqeqN6MAIKPGkQoQPDkjpNvzf7jYT
8qHVo10x4COkvfhQ1NaDGz/pPZmYhv6tdt1vUqvPcoruzWL4lhhOttR0MS3J1bso/LILQE7bLIwU
WrIkWkwKtiqCbG/rSL9qS+VqIh8XtBpr/6jhzTIrJ9vFKosCZD1aYMK4zM2+Q1X7wcJUmG6CXDjE
oRVsYqW11lWQwr1rxcqphzurVvYIblAK2w06my5e0EU9l6PhemMCjkmWubYZYdM7TBKXMmpJC8bR
sEnsUC5jkXUrq/OJ82jpkeM+Jsdh1LYy6D/7jr1Oo/ZiiRabNaQ/PK7VRhpYMakRcE8kO80M8C41
6E+hq40LS8hdpiAqlhrZZ7xovtcX3QHfHIktE9kRjXyKFXljdealD8QuiO3Bs7R4Y8TFXdYYW3eG
/iSTddfE1UJkwWcGli8ceQk/mMgXMVvLoI+PaNhpp4c8rsploJV79p57peVAndb9neJSR/OjDHEZ
PK/0LrkdFW1cUXkic1WL71mNaTMqypMxuufE+H/sncly3Ma6rd/lzuFA3wzupFA9WSz2FDVBkBSJ
HploE8DTnw/UkS1tb/uG79iDE3HC2hSpIpD5N2t9i+F7N43myhfqsh8HtRl9zMCeKmPelcZnDJEy
VVt8a11P1LDVjC9dJLM1e1ViTxuYqFaePfX52ivSB5bABU9gijraIDfKHvBzdEiUKsYjK0c1cj8a
ZhRaQr+YpDrZlYbJOEtJa9K0Gza9CQvRel57ZnmVVmaFCY54qNSymnCM52XW+JKPNZwGS7+zraM2
feQ6hFEtbtB+txtrGjPisbyNb4tHzIwf3NaEInv2RzPrz0EbXBKSdSWn6c6EAr7C45ps3ClBB1vW
t0nfvhQozsgVQRk+H+0+KMLGQNHLs5dhA7TDxp8+zLb5Gmv9hRLdTSG1Uzdk+RbW83rOx5MVEF9s
6KAynGoZg/e4kHtAOaixug9J7D1UDLVIH7wXRIpfsWSQICg0IBtiBFymfPdI2hCuGzZIBEvYXzh1
kUZODYKkwn3roLbgMzbTNQfyRas1Ixulvt8m83DsIlhgZhPfusn4kqUOgTN2DsKvbouNjNnNtzbc
NVqWOklnAKrjXefUmAtZ6xY4C9Z1npqbqnIaXjrBK+G7p4J0kY0YoytRWMT89tGInTK+A6LGHiW4
Q3i+t0YcEm61YFmn4hZw0FUcG/U27vziS6NgdEUKKbvumUTDLi+2kz2Rh8dybFD5lmPVDmMzeR0r
wbrNTreDqo4c6LeTLYZ9TfmO7r0HVgUUJF2mc8hcdomexsysLEAdLo2rXx2TyLUJBykukcHfpI5d
rcwMuxuaVZZ0jbGp4oKvHYY7x0UoOlf9K6HY/SqACrMyKzPB4FdrYTxrH4TFcV8kTboDlH0D+vSV
NJZ4VReeT8yxrzE9Re+H5r+60sGVrBpRfzF8Ask6f2IwPGGaJMGQNBqQePjPzJ0jK32bpTqZip14
7YP0SUgeJBVVW2ZfDdgqH+98CzBSWVC2OuBkW0Ko+EyHFAacpfZBbCOISAg8J+6z4FMaHpi03iju
xLDLfMEH02bMo+GOFdrE4+Z7OcsZ/ptfYJKU2qzWuZ2dJg0WAXwSBVcZ+JuWuw9giXcN8z1HONdZ
LN9H4oXZTmZfWKMTct5oiyq3ujQst77ynPnE/Q/9xqv2umEcOqA6KA3MfpP7uviCebs4tIuJ1uTF
LyrrSZvsM/Thb6outkGUPXDZ6xeQz/DO+cGhTeMzdOD7YM73lsas1iOMEu6n6FeTrfY02oiVJybv
g01KEa502CzeWzoKbU2IDchAIeftJPxbIyrrDRg1GwQDwhspS9Q/RR8d9GZ6cTUehg5zBMJk/36s
PBimkXZM4/gFRBaqVGg5YyZ3ohZ8vSevRY41XQR6vIHk9iaz0d6yGX62dag7We1e6737KGwXRNZi
Oo2tj0xXHmeswb4KPvzGH6tk63pFz6KoXbyaE49fxkLFSCccjLPx7LbYR+ycYC7JL7bROLWTycL7
5qHFcLXsRa/MU54i4+jSCBH/IFFY46uzuwbRKllaveVkIZyhfRZDQk59MlP0DsJybeJnRMZN7Ffg
M1bWRpzCcbMdgDCSkzcMa8FeQeQ0D5PmPqENN1ZxTOhVWWv3SaMemgBAXZUCDlPFJdts8Ds9vWzc
CkRFJDR12Bw3EZlN/RLeVOrBg02aU0wwVkhe+BLRqvVI03mfLNKfxhhmGCHuB43KiReSiChltq9E
tl6PJvf5EiKFFmpfu7rCbpy+K2Q6mnQ/XF2715CUrL0liioP8g9vUeQgGXsbSKsKuMmhRjpv7eDt
sEI364pkq6iyMMTOjAFHN3+KyxKc0Eh0j9+DJMSjEkevOjlZFAaYkm0NEFufHaXToLrvs+wKGfMh
WoK2SMR+jjWHEbfK7o0GkoTstVuP1F92qeJgB+pppOZiuT8jdGJZsKmXWK/JAbNWLlFf9RL65S/x
X4IcMB8tjO9P+JqWiDDeuw/XhEfFMwMKLbe2+tB/kcOCDGwMeIVEjfEsnCw37TaVkzVs+eWduwST
OZ5BLPASVkY6xGlc4ssacswMv3tDYt+GBgln9RJ1Vvb6w1ykx3Eq7s0lDE2RiiY8/XUY0HlhpLMA
QBKdJshQk4CvqiVUTZ/ajuOQoLXOzd4DamOCZpEOkcU2l80R2T8L2GY+mGb1BcD7uiPATS5Jbi1V
npdz9CVLylsSKCBLS/JbTQScThQchNuaM3h8tkpqviUxLiU6rmdjHhEll+TVS0S0XNb1ZLjWoGvJ
nIsJn4uQ760Kq96z/bkdiacbHWxvEYF1Y4t7zg4OAUF2NTOXbgm2Yzqymiyo60TeQVe6BGZyABaw
bCMH89hmxoR1a4nKK6rZ/TJ9BujVmjPwHxzmQzjbSC532H7/24N+xyv9bQ96mw7vTZt+o2P/z/hV
66cudIlhob0zP9lKDM7+aEIXOyo0CQAPsMEXRO3vfaiFZIg2FKWrgWHEsn72nBLQwjiBxFSXGaMF
peKf9KGfI9af21CPZcLibYU1QUOM9/XXNjQxK5aOvWWeuOFr6V1q3K28XYGtt6W+DuwsPwe9aeXr
BEpLz1a5n5G2ThSVU5c6Z/b3xbkXSPZUOWoHx6msU59rRKOabXWBw7q8m6xKnfvRlpd09OKNkAR1
NEuV39mGai5skQVV2I3eO0whey9sP9riOlqcCoiJviY6vF1EHwFGbCVXdlDsctNQ67mowMENLoBU
K51vzdZNezazFef6RGGu+8Fqli4ZdWZmrgCh0QckXn5dln10b7JouKU3K5I7PXPyuN0VnlHPhAIk
QHUR6voWXE6vouFY2T0nF355wzY4xifli+mFlfhw0zSGr/SVwFqKaA/5whWL72xTOmmdPWjZ7Czo
htzz6KBcOjbVWFO5cgYGmnnfWwd7AIOHphNT1gwigFWq30m8IZXDZTE0gXMxSKt5wRyHVLTEDk+r
p7fIX+oBR9SUVpZF4jSGqClhnrFGang7G1wUe3PALCS87K3LiuQosbJQzqDLOvhw24dbHBfGdmqc
iuMk4cFUpzIopkrb/XsifGfPmJ8fxHdbwvqle/nfV//qpXz/v//n9N68vX/783Fg8lW/D6XQ/Dlo
/pw/pOq/q9hhz9hYrwC/wKX+OQEWFbvLfhYUGkA1yuLFbPKDPeP+5tl4xgPmVYSq6iSe/AOxoPm5
rPz5QHD4rbvsMReYjYlb/j8mo5ZmotCp8/xs6FRix6BLpR6mQ2lrT9iIPaoftymnsK+zGkI+FTh2
b9wX+/Fw0KNsV/EKJktH2PmPaI3kSqbDPUFxzYU+FiL5EpEMtnI78MQTZ2ZYttGZhKZs7cCF3EvT
wfylyluRT+dRKwYmHeZLxHg1hIt4IXXIH+7I0RA1j4zCdsTnzdveHx9nXX1zpXcrLcFfABB/H4/O
duh9Ad4ruIHvgMq+MTdlVqJsIhprI1WXP0TUaPD46RL1CavqaJx9Ed2oEpK+O4F4hXNDcHvj7wdX
8hrmlOuu+WxLDKVKTP1myIDSClEPG1Zc2V5aJcZnHNyhIyJ3U9bJl55UmHXlyHwXk0bFmaQbWwvT
6arXLKiWyu2SPaH1CDNqLONA0TwNY3uhFXuAK3JDP+PsWsMoLsCLx7de541P7tAs6EUi29qREzj1
TTOMjdS4mibkgKNtXnMMEgjVkl3p1owkaG7bbSJKAyVLybc2M59ow7rbV6ZFUHbSYEIcDGR8hIq2
x8xooGf0nXXhywY9QhlMbczPUNXp0fY01zgEOXrHralyUONebrwatWWve0B2Xp1lpwRsCThcaidg
JQmw4yXOcKs75Y0N9FeF4ySggDf5eyH6p7rNL4Wux+vSU7uiy/MQFwfMNe3U4romnzddO7KgMqqO
0myeTS2/zBTu+dos7604UZsu8d9sppJmvNDcxr6D2c0572QTTb5lDRYAayfJ5hP012qlk2iRywUS
Zg8RWsvk0JcRfv4ILczIRb0p5/htHlkGRLoQSECYrAoYyMxFK9TmjfOGHrJZObjiONe7dm0l46Y3
Oip4/BVjN66J93ZQbw0ZKcQISpkgXJEnVoJmccQeMHzK1RSDFOJ/mfH3JgiAPNb6AGUIySqcIA/9
2R4INk2HtT7qdKMK11zjkL8lMYDrenfhpuMQog00N2nBTEovza/uaOSraBJ3lNtIayYaFWBIHjJ0
lqkphnR0ycGq9bz3Moq/FcIvQEIVdNUTzlvWbT1DHJ4BJJp674V9O5UbYaBFREYTbH0efWbsBHXq
TQdZ3ulYMGrIFBUWP0/kR0Ze4v7f++Pz/nCo8f5aa/7cv778+fZYvub328NAMR4se2XE3LjQfl5p
GNwRRItTNlKi/Ew5tgL+JLDx8usk7bksvP64PfzfAsNHZ8YfoQL8h9Uk8nTKxV9uD7a23F02K0KU
CQaWql9Wd0VHZN8oRv3cZeJLFFTOzs0t7cLU+iXk2ZA3jkB2jC0muFpOG1JoUKN3YIkaQldBGTMc
TLkfL5tFmmb7OYw+5e4GhRbOH+WpmbVQDmDIOv/NgHy4ppDc47GN1rOrDkHkb1NP6muofDsQRQXr
tomMX2U/qKrZ22lS3YO26AH0yzeXdGDRy4fGQANol1a6wlT6ViD8XouWYUqt1H7kpGdctvCEQMMg
47MZ11vuReSqYNN94oeUFmHRAElUwCaaYBR5ffwWlb7aEpkD73gCZORXBBPXQrvtCr+4DjpcYOUC
PiosdGbRREpzlDLYizUa1yqarvE9NZsGdlILQylx6it/gSrJJP+SmtZ9JwK51uAuydwBwDTHDw3u
r7RuD73LlKecjT0L+m/6Am9Cyb3PoTlVenZqubpKKE/ZHNwDDmEqvACgGlO/lx5F8swvoUtkFxYL
LsrsiOjCqB62kKR8EBOLM9hY1aQSKFu/9hfsVBKlN2nAGEkrFVadadJJPKiQdhMuoLvVlT+nF8Mk
4oOVtbe9i4p4pE8lvI+ZhUfgYeYW3BmyoAQG8wJXE+d/RVIS+42uaHM8UQ26var1z4Epp10B03Q1
uDBZMKGRWNi8m/UA72r24httmT/PqfMWQG++qifzowCK5cLUF/o6yRZUXNIQElA1nJO5E687p8y3
VVHJY5yLc8IZH+qFf1ZssULXDRiFT+wPctvCWSyOfWNeSSHB4VgzUqUUSxouZHbTjrbLRmYxjMW+
ujJ5zHMW7w3y3nrxWM8mGro25sMtqsUK0M6PHvp96FivJfaknrLoyGLgxvDlh51Mmx63dF+TN17l
bhPqXQNHCsyBdMvjiOTajq3zZORn2+qXJDAmNbrInnQVPTgQbfYd6mkS070HTmmHH9u8jKQJ6MZn
mVHXpC72un5bTt1RV+muzrPblIBtty+eld68OgFpxkYO325ibOc3eb9uXNUQRV8xDeXDdWztCJXa
3rk6l2IfwK2o4gVvYLz5JhLjtpuepIWafTDkViI6XpFcV6+ncTjk0YyJvdKvVKFeEz7rjUvGZ1i5
aQ03UH6xKnkKRMskXmyzhFm2b0Zvna62XrOsPAqYFAD3RJgjChpZdIUTOeLQa51vnXLgkpgj/Ifs
so4Yg6WyzMPcNHfkt331s/qiLKsHI58fDa294efD7bB4ClVwakbQH/zA63ge1Dow8pNfU9f1s34L
tuzr1AXyHBM+BPpWG49aPmkHUSqGcMyaSTi4s3vtPZH5re9WTihLhuYr24raQ+TxtwB7ISPJszdN
VMMjtLTiUJbmTaaz6fHpyMPaaOeVJlCzloKHeGKEjbDcO2cCwSkZ0MUaZwYLt3i8yUyEtJGjkyYF
5/Tfe/Z7n8Yc46/v2RPsjbc/X7QmX/TjojWWOAEfUefSArHx549+atO4S00EazjBlxHM72Mb5APo
lgBmfLcaL7Oe/+3S+BOuWQY9Fn26b+oMiP5Bl7akGv16zdpLg0Zyr2Hyd5Hc/es1W4va7vwkS67r
Ht/Dvv6E9jve2YAGT1kZfxL98+94fyLO9QDm1ML9x53aNVv/Mw9AfWYDKL/dQ8C3ohcoO5m+UUTH
cl9bdhsdDaw1xoZ1kRZfw+VNS4J07YTptQHnEUXT7DCADYs2iLievMpjPjxMrFSQiyOtmFb4G3H7
Zk1aJ3tP9UxIi8xhizpCr9rXcRNkJAuxJnFrVTS8bEvCTY/2wdvEbFrA5vvuWp87XjQnDbp/RxTf
WXkmz+PfPfr/1cnI1/z+5Hu/Ic6mp3ZM7COfj/ePJ5+XwkUxoyNdcdHVLIXpD0gedkXKUfabf4Qf
/hhQeJ8x1FDcKUJh5f0zm70V8Ob9+uwTQU0BDKvcc6laveXPf5IhtjPivR59wFVsVfMlAXa6ZHvm
M5iHzUo227yaox6wjma6SbH2u8gTWPHKtt/0afZpPdKLk78IbTCaxHyPOGxJk7AxkvS0qJsYChkG
vhnEM21+hyXnSfWlJtezHrNnYMOhBfLQ2g2Mz2Bw3PGmzzyTtZ4m4i3kag3EdPVkQjanzbT2XeXB
NW2Hjnkg1U+TkkbTx1q7jXr9PmMF1lQu9LkSSNmk31YT/aVhsJgQkbyQoryo6ujSUOPjRAEG8k5E
KzZ/u14eCmqI1RTTnaVulobYwAmzGD26Mh+PQU9huBrG+an0gmsW9f2qIOyIJVy+bDuWcSLJ0qr0
j8te1Fxa17QfvnT431akA5FQrTu4j6brVlTTVrkDZKM+gJky1F1oefO4zjt8JoB0COtzKGN93dyA
NpvWALrge/vDN80eLwqNFXaPkzEsI+PbOErB/qHdAv2DEMuiiIxoQKemDEmCeoT/V4ZZrS7bnipq
SOlHZ2Hdaba+rb3e3EY5uM9FWhCRwnhAZRuvRltcZaa4JUcDJigLRPgxCZv+1eCT2c0Wb+qLVxsB
xqpJ0CpZeEOLfF1gnA6Jlj7aUblpJItpFt3MXroxWzWFyLf+5GlbzepOJVDlbV4s2C0wdEYcP/UV
kKAcoPDOgu2+1tz4muMMg3/QhUbdHYceWU6tN0+xwJY4584Fw/K7Lh43RCQO4OMMCLTZbVwNl6lj
rXMvXczcc7qJHLZLEnHXvsmjJNTH4JqZAQqP2noXhdHuDYkmy6nElWMQuJ1Y5bay8geEuo8lEhoh
67OWSOxMQW6u7IKz1S+ybVaUj8rz1wtgsdetZ132Yu0xVBpUcTfmzqGKa9Q8i+ct8RGvT2028KCb
yYWU+MusYCaoRamnivtwnZnd0xipR8Nu7+2W8Q6rsh0Bv+esdZDQUAA53euIWR1UI8af3ssJL88Z
R/tGCYu5v4syOhyRGT2+qvgQt3a8r7ua3mB+xrH3lURIGL0pshCIuzVpZbYR2nr/MKT42YwcTqJw
k6OmiSPLk5dq9puVHtdmaArjjm50C2v5Xrb6DgHAtdJTkNmpdQdp21/7CYgNa9Su4sQ+0SJqoZWn
2zEt8O961Y6Itpcynsc9YW77fmA9qiU+CcdaXuE8BM/bddVzVtUDnw/Tp2Kc/YtAn3zKRkw/+tws
UaLbUnk8pGZhb5D9uSsg9MSMTmfDsPHnkdIgmvpKet4DXrTk2JQW+2tjfM/T4Daz2bovRTGyrHEC
Sz99qIGKfRgg00HLtUMU2aQttAt6zwNHFRWQpqOcR4fJ8Co32PMKmbL9A/Ef2oCN83h8cZOu2nRu
VW1GNzj1Tn0yNPsdpgcL1pGYnAazceh03hayzUej7AvoF/tpFs+VF8O+TuqDZwGDlAjS9KYetv6o
IU7oXSyDpn2ISdlZkTmK1MrMTgaIPvIzUZ9lF9BNMaORcl9kh6Sr76Kk/uhGoAmVai4nEZ1dTd5L
yhd0jswodYxhACw595qUnoomY+OJXu2yXDxVopvo3+nJixbFYESKlwJXyDxaPQZtx6RRENQzVDhc
CYZ7Hq3O4nUcCU/tdZoC0OfBaAJunJInU72rhh0MoYrppprsi8Qtn8eJT9QImC6ozgScKB5RSyxb
fu3RtFGGx52D59Kjt7Sw87WC/tL+Ojf6x2DwMMjKvZcNvzBYT9baKYipMOIK9njpXSOW2hArRnMc
Kw2G6XCFa/WWfyom9+Q8E+C2dewFezVo9N6Fd4n01FojpzmQZouVNvLHg62cO1NGXxIPVl5TpO+l
Qj8S2Qr2C9LofZsPD1YF1w530Iyd9jMv998G4XuDwOTsr6ukc/MCT/i/dAh81U91Er9Wmi8LJJTx
ua35vU7yf2Mh6JBZ4/qOY7vM237USdZvuLhcSETM6OgIfl3ssu91+T/+Wgfb1T+Le17akF/qJMaA
y+KY1TIPpWX4Sw/xU51Uu0RXKU+PGKcbycaai5zsxyW+XUNYeFF5LeI9bYl3t7PkmEbTMzqZOWQW
9GYtO0RNOcrbU0IhG60tPTvosiawKUuzOKSyEo/ATFlFgrxgLVktG0qytlhWqmVvaUOffCfXNyID
cllpOkQ+hdXIVgLi+haJblZvmPEAoSkae9jWTYbnm0uXZBXAvu0n4jdPJbjfbCH/jqRdaXDhYBlx
6DhpNKwSQMGRjx7CXa42zcqCLX570KwTIVjMeo5Fb5wlyOHW0U8zCGLDmi8TkMQ4JC5tURwMUMVj
Gs2h4zZMBQw4xqId+rXZ2smlRPmkS+06gyJ+KyP/ols4yNCdqjAOWuOyagU8XU3lm8klxq0hZ2zt
1f157NqzliM0UTGCx8nGdiiE2iSUmYz73E6j0rGm5iO3uru00O/Y8ZdOOBRdda3V+XyybK6RWhK8
4yZfBIQ+jwT6qI1KnJ8FWApBOicDpdCUAJtM4aO57MkfsMo7zXXUVvp1xxYGM3fTlDvuKzQk8D1Y
VYyraPbctWlUyXmIFYB+iTCQaOhtN2ri1lUMRVz8vfrUoPQmvF6aSFhS7WRAPmLNzv6hl/ZDS+Y0
UHRICuiKt3rBJoDoiBDUcsNuy5PPTtQjoTG0INVXlRm3YTs12ffO7S9Rb3TRPz3Yn6g32JRgTgIX
xiMExF8fbNCGSs8DoklNPZFbq1DmCzBEP1RTDsr63/Pv+/nHmfTX59918fL23vyX84+v+nH+mZ/w
GhveGdlZ39UrP84/0/iNXQKYdQKZHdCunJo/zr/gNws76dJYshL9ZK79GJFYSwsJlBxWDo5TohqD
fzIiYaDwy2OCwcKDMWoQUcYYx1wchr8+JsQgE6SKwuHcjUOOqhC69zDdemIYNkUQn0ujzt54xSpk
0NY9hQO0MkuL7nxPfWiJvjUx9nDtA8CKfcBVVUGMkYfWHD7yaxMDvRgLJtVgQm8RpcREm4hop4bo
5JfUbIn0XvEV3LnD/JSUnUt+EMWKKVHtiaQE2SWPlmzJ3PKWKiiotnNh3vG91qpDZNNQIlBoTfCQ
/T4LkZecGO4+2C4bXEwK37KWoPYmutHt8ZyQ/Ss8WlEwETcmcpmt7ROYlAHtRX0oNosPe+WZo4KH
kYOjotgAT24xNzpgmkH8Ko29AcBnS1pyiwu/82GYSWtj5RGrm4IJsFVyaEr7Hs8EC99g3VvWpqfM
XtWsJcO0nA7MJe2wqxKcAvr86ATfShGtG3M8EVx/9IbuCyTqNJQZqBiCdQcU1Kxm3KEnwHGc3gdd
HAbDIz9SAzqjJ4+xwSGPByRkW1KvbPrlOJ33mekB0vGulhjtWDSPQnNe+x7Yqsh3Wj6vXYAudWsc
QBPfmGiOlgTlW59PKAJux6i12aqiuGrs4NZN9dd8nKGM6wHBEzr8ucBTD6VpP2d+cMXZqkKAevZW
9gY+3tG7MDL/Xluk4e6sP6ZDVrCpyi5mK3qQY3OFcPIibkARt0XxbmvJ13HQ7qXVX47JeNsF7pb8
xi+9lr3RlJFb40yo5CWxjjOL2I3Z1h8eOn29BzNX28GJX9OlQrLLnbiO7A9DOhtCxdiNIbyS3oKD
s9M7kYAWWTTReuzt5sxzVk0lvlqVi/6wXZLdxhe7VzxfRo39bAmDHjpxaQzFt4gnMmiscm2DdCax
8di70164HUFx5MKZiXXvsO6POfoZo9RMDhSS3nwY16QaJ6h4p2ytJdB1JmK7GSLkj1nHhzQTm7Ny
ElBEdmnedq7cBLIEQ1I2wQZDBMYNsAtXZi8ex/aZlYbFO/dcor2Guk+DGXOjzJ1NZzQlJG83wSEC
kIzIoR13bOpZmvcI6PvayGjoEwI1NPnhZKoLLhU9N3KFJMqmTYcudX4YPlN2HNDu5N/EUW7fVZGF
glOLrccU98nGJqUHg/DM5s0GbmNDCV+SfHzknl4V7BgWEPJDvuwaKkJxTKXtbUrAGyhGrGcxOBkk
AV63IuGRrlTnrpKxCdHsW6GWluvYD8Y7XyKPF0lyHpP523L3woby19CatzrpRH0OMX8mtmBTkSOw
pvHdFp53NdpsNck2mnX/KSXrKPHh5DHk3UJ6OyB+JpN0wk8hrjHqbOWSiDOTm4TInsKLJCU7qaAp
k62U2+4dn66xQ7Z/1WYk39T9Q4CrpbHw88SRem1d+1EI60upA6E0IZpkhcV+sp7nLT7IR4f144ro
oSRkb3yloiEAWwf7I08KXCXzjv9q0qVjZqw751lqmG3MGteplX9MyOJl5j3KOsVTYb82LdQNvfTO
LmlUbi9IqqsTQgoJUkI+GGuhHhmv+pjd+qRZ8csj1ipDVtDl3gMybsUbYnWho/xkg8B77S7pKWin
GCkDbxQdL9PEq+cRtdIm5qGN8YQRMH3LBIogIuOIHewCIcsljDO4HwG5LYVC7BsNJSHgaYkGx0Om
YpfGvImIfNGSuduKoM62HfYFpmz6VbUkxKCxn/YmoTFzHL1oU3mZECajLakycP3etCVnZlr2xA0L
Y7lsjstlh+yxTFaCWASt0SWq9Ooh9d0LBjRv6UyiF2SkEpl+s9cq8wEIVBlGkt9G4YE4ZJe59lll
66y0vRLvUeT2e5lxO8iOBlTZq7YseNbasqdsK/RYa46NbsAOpyCrNrQjLYSdrg2+mmXbead/K6LP
imhxm/91RXT38gbQCp3vf+EALl/5e1WEQIOuD1sxdIY/VUU+yjpWR9//hK/6URVR+liuzWIIBS7q
3qVg+jE993/TMTuh/QKZgh/1n8l9mcb/uSry0YEw3tfBHf3Jl2xlQ8VLOQJsLXwdq1NKBT0k2UZm
S3TY2G3RdrUWm3p7eFZZeSHbMWDn63u8uikup4lgiqjyDYCA7gYDJHfMVHmhq6fahd7NL05kzqSG
dO/KrVsoZQxpZRHdWb3mnoDtA9obrHorx6G+Qt9CkGny2KHjUnoFGirwj2VnHhmtf+Tj9KgSygc7
P9dFs/YMcx+kVEtBxhoqLWGIZwVZofNE6sWo2y2NGQUF5ep75qH3cLWv+aC9q2GBO0UMlkeiNxE0
ld/qEiNgrmtXnU67h9qN+U1OtuQQuK+L/Ygjxl0Ar0zsBywx634Sj0kpbkyXdblAQOBNWADqvhs2
MTHz8SlOD9DVbuvWPVlF9D5zc03VtWtISKVNflVRAcxj9lTW6MHYbCeVcz84eHj17GOKl+iswrzx
gRCusDrqmyFuH4TW4RftsTf2RVJsx45NBEmUNTv56a5kKIUxQdn71tez0ELZQHnaU08IewY/ShPf
Ejm50TDmrO0u3ucJ0WSlZu3Q6GW3jgGSeCRzbJVN3PhGiuPIEcDoGoxxWBhIiM4R6hxn3JuiHYnb
1IS+68f2QKWUrhurS7c2W8d9HyECeKxizYtPZjuXT0yBaeAL+lc+vmEOR8tVrCBShcXD/2gDYOzJ
cE46+MdUKRxM3ech1UB2+saQ1dMYpxbBPrWNaOu0rnH29BQByszaIUZMs5W2EqdyNtMHX/mPDTRJ
pD/B1zwdyc8km+Gs7Mxca7Jn6DD590GlDlYJv4r0ml0xG8W+MYwHrY+Mda8razNibmMMjqyS5T3m
jdaszm1Fyh8auJXVDqcxmQQA+tQLqQEEm4livMYp1278Xsn7uB5eWygtF15ukniaJe/SSCBf2ZO+
SQPjSkNK2lG4IE7QHIP7p+v3DTE/e7Nxi7varQuggl51n5tTt5ZGmoSDLe+F3627zqX46tGFx6lD
hDvVWx9pGQCuHt+KmM4UPlGo4U8NSzYRGyc11UXnGv52SslC6ib9ZYxkWCfqkXRICe5RnyAs42SN
oSqvzNHWDhh81dc8wx9XzXW0Tv2u2rGdyd9yZgL7olf1aq598sKTcT/MNAVNF8xECMzMqF3EIjfK
MqLLJLb8kz9MVy39HFl0GsNakfJmlkOzhV83rjuT6BjNn7HbGahIUCzNm3/vo+/30d9KBZds7y1T
yre0fftvV9LPmkETBLrBkJKWGLfvov77vVG3lqhupN7L2JHYj58ade+3wETLgFzh96/6cSUhRkfH
gAnS+P9Y6P75QiLnziZFHJaRBVbkPxSDDrkRfhY183nG2OVHCHC61U8X9fV39eHPedvL3/CHJnGh
49j8HQBYgECYfIvlJ/hpEMoj68pRWsa5hfnTgLotUnzHQNv2f/99fv2X/Pn7LHOrn74PYD9ZN6lj
nJ1FItFcKu/b33+DBUzxt/+S/4C9xEZdmX3Cv8QcCSWzH7zgQ/DOBRoenWHDrDpsh2fZ7/v0umNR
bKTvWbKNQUqKm666izHQdABMnXjjs6OLbRbXdwrH4RiU/4+PwqCW+duflAfr58/CSrWI9mn5LCwk
inQX8qknEEgY9lnRz0Vo4dPpw2P3UfP/+m4a/v1HtVRMf/oBmP4s4fSLXMH8jyEhESBGN+jedMZr
j8TUCJriMrdN+olJ2iSBBxl35iHzWYCPLbgBdWvQHdDXY7kddG0OG6JZmdjg/9l2sX5UnN/Nrii/
mKV1VJFOjWRqmfEwWmW2s/KA7WcEC7nKsk3jNgfZc9AO9RbY6XrAfZzM58FNN2VMa4VZio3nrmHD
W5rX0ZwhBfiyqFVjklxi/2RBNGzg6Q5MM/FYHyzHIeO1WE2Z/B/2zmO5bmzbsv/y+rgBbyLqVQM4
3tK7DoKUKHjv8fU1tpSZophKsm7Ua1TjNpVMEscAe6+91pxjkgl2w6S3ottB6YOvKJoUr1M6pkfZ
ciixET40OMKxQKNfzfdKq18iyY/HbN3nKuAFfNWlNmvLwrlpdRHabQDcGkVLPdAXelTZC9nOcHQm
6SO9ajfL6Os6hk8WGZHpH39D2t+lwr88+Pq7x2WIaOHCVJ7P8lrb+Nv50N5rayAW58ZVDu2m8uol
A1ZvWmnert4hxF+Mj9I2WbVreW0eo1X842Dzj21l8fB8tEy805Xo5Axambhli2RbIMQdFsAIGObJ
nyxHv7sz3y5H7xY8O8rmNAy5DriQ9Gb8WglOrwf73fQ/eQiUXz/iHyvS24fgXQvU4f3XmgMiJSRK
/SIZFwhHMY8MzZJI8uA8fPbWfrcCMhLTEEMjnjO+mw3frICZmY2WRYTReSBTJp9feuni45vmdwvg
2wu8++w4JFjQoVT1TEiXcCcPkteMn3EqP7vIu1XWGR1znugpn51+P1e71rxRzaeP38fvtqS37+Pd
8jixVzOhMdQzKiwayWR6m1cEfzrh+ONm+5/GQx2jL3XRFN/a/yX+8peinOooCNv//es/mx//Dl4L
4Xz75R/gg8ExXXav9XT12oC4+FPdKP7P/9sf/uGluwEJ/N//9fwViOEiato6+tKyvXD05grbr//9
Xz9kbkKR+c/H9ZsOX3eWv/7+9/48rKNnUxgiWVhgFUOoMt9URjJSN0YVFoo2THWCzP/zsI4jlyRY
RYW+SLOL++dNZfTOpvfn53DxY6nhI/zHBekHUe9vSxKODUWwBHmm3j2/Sm/UmUQyzHk2wp2mkGPR
F4Y7okqZEZSvEJ/pbuynR71MgYxo+kbulHVUtuewk7Z5GtPZVC9zBUWapuyGpnxOOv0RpK2X5O1x
nJVDQFrdHBI4nkjF5IVW8NhM6WXP9rw0s4zUO9P0UKZXLoKT0psVSEXZlKJnT0Jk2lmb3xdauO+6
wj7kWnZhhwnqZagS7mxJXu0kL6ZkrFBBYGkozmVtwKhx4odBgfBf5ObZBszCoIOwwUSBk9+ZxVez
KOgkj4Cp5tCCiNMnytaY7EPbWlvNx/U1ja+TPh/JFnhJ/eZmmIhEjRnAFGZHaSN05715Rji1S1sm
pk5o3JL4tpiL9mkIzVXT12jwFIAfg2Nf6E69T7PiHA/JKR7iVSkpPgI18l9iC2+CUkv3jrB/FXO5
kI34ENYzqteSvDQyoreQk2muJyjEQtMB8B47T6OVXWCnPug4D09ldSkX2ioDgTFZnGYNZ9Vp49VE
VjoZ6REmOOVZU0JIAdJDr/v3NIhWZtfBa+kHgwzY7AWh420poQvJYIrTboxPE55nbF3dJTGQMGPI
yr6r9K05NdQerR0U9Fat/hTI9soffDZwg6Hu1PVg36Ed090Fv92ki7bK7zpehk/P10siABocrddG
JPSJNjh3edpXPd9DHDOSiWWbmODJZp49aVeRXeyHwf9KDRUjPDRv9MK8klBpevQbDg6TH1BdVuiF
JVCuqA6vJMPfGnGrH4wCLs5YxTcUn19sOUILkF0SdvQ1zuu7wJERM6kG0Bbe1Kb0lYGy1qeoKsbA
s1R1pemikW75XlpEyaqMusVM2WrMyVrWIdmryKnyDiC+2nSviDLKhW4i0ZGt8qEosqWjlOmBTTck
LBSR2Xf3Wj4yudAakpQkIqLcGWeiaypOeSSH6LaaEyg/HTQcOWYIFkmKG40MBQB+I6Wsi72Mhuqg
4CLp7OYhMq2DoRtXeV9EnhU5mScp87zOcobsuV8PK2eCR0H+z1OZV9d2zxdvDHANjfkkdz5DGQmt
XW9cOaV91TGdHzRSlBTf31qJZLsGNz01sr1CdyZITWDZ1CBpoH6DyYyrGpzIPD0H2oycqyHxIeUT
dVu6wm0vLeTEhJtmIdNKs+iMWhZisJotJwjPdH9CH8xWMD/jb3hue/MmGPubJKVDMtoX2CgSbwhm
KD4q7BVq+rvJpmhpU2speuXh1Js7phrgxxV0Up1BLnAuTc98r9OOWIplUZY6Im6UgyrCM3Vsjqks
HUcZWVpEXsESTeVzMaM5K1vEFyauYtmKShcBOHSBGkCOWg3XOEMLBnvotHw1gDtKA9UbhC5u6LgD
+e/fVKGZm4zUd5EIWtCApCuIaa+NUNjpZhZBBbFuS8R3jVDhqcjx6O2fLeR5ELpNdMIo9nKh3TPJ
QAmFms9H1sdkiG9bKP2qnDedCPVfhwxQF3pASFb5IojQCPZCLZgiG/R1c9wQ7/xcmVGxdlgaYd+s
KhqfXojocG7DcyPmLNADkGMiTKS7OnAII/IJyWIspIszayVSRkVoGovv6sbCeibbABt/uFOF/nEQ
SkgDSaQEjdWDDlAt0xjBaS2Uk0njP/ZIKWsklaHQVgYAQQlO6bA9Y9bVEWCWQolZI8nsNKlY2LDx
vEHoNYMMXBvBm4g8vAJBJwvdOqgQhapIPScknwnSz7qytUWadPe6UIUq+MQXslCKzkIzGn1Xj6IW
otOEojRVtG3dxNc5EQ2z0Jz6ifI4JDDGHFSpxnd5qhCqaqXpOrV615uXQ7Ob/YcBUl+oXUJ8cznc
3YG0uY2QuppC82oiflWFCrYUelg5Nl8VoZBVOEgBkeLRFupZSehoLaGoTYW2NtL1ReGgKcZG3Dvq
xhIqXDSmy3lSrnODkYzQ6UZBd2+1CE9lJLxVe0LZ5LZGR6i1hfVBCH1TIflVGcriRI/uFdTAqZAF
g3VT0E/WR0dIhntmNytNyIhnRcM6JqTFBhrjAa2xISbaDRM/ErWKwKno72rqhpjkV04E4XHIW+Jd
YesY1n2M0WhNf9OKOK/P00mBBOaFDd+zNc3mJrBbskKJGWD92vnt7JwVrS7O8izNG79p9S3x36e0
Dm37udOnaT2Po8p6jIqBzSNeOVWwygzlqJbGltVoZxIUTFQkJMOWEZNU68xJQbwup74C9tdIG5T1
J11vgg0Jnq/aJL8yBHhhy4mhdY0MeQFV2RYEJJm3zmtsNKVYJGP6hdxeUHhBuFZlLHBg21geAvMh
HDMMzgppvUPFYE9pCohSjB57UnjxvOwDPuzypZV3iu5fkTG9kaRBPUW1ddbK0eeslCleksq3fPzs
4kr6Wo7xrkfJvyqr8bJuwPnbDTFdmpWv8hGnNmEIosmOfF6phoe8ZV47pteGPi3M1LjNHHybVQyp
bU62g07KS5Re9Dwn8OpGzu/ljVXoX1hcL1pnyD267bHIp71SpJpA81JZD3rNlq00p+8RvRb2y9yk
fc+c4mw5NaEmftjREU6mZT0yLmbdT4GpzAzTzWaZjYxESpMGfVSozzM9aIaUw9oCPuSS0nuiyH2o
6/IwWqnFFFFaKrTEmYji5IxX/aBeIczd8+RuLNVEkTGEt+XclF4cpcdBYatNlEPkt3vo9Pfk5TwM
fiI05NZ9gzqjGMFOcQwHXUnrinN+cJdNcu4puNXmaFfr9REI3KocVCgPkY0TtWSPlszbruyPMxgG
jmMvqW7s0HinfO3TgaF7t5nqCajTaB4zBbmcmbEQSuFaNiKIfIa+SQr1MMjzvqs1jdDXuUZUYd7H
Q5ZdaD5gTYh6kisNtbroQ/ADhN+W3kDjxjWyfEICjanOnutNg35hUcvxizVQw9hjd2GVjUb8T1+s
keg1h6yq0UOTkpzGGDAK/JZJ6ktrB94VNaff8nAZKWb7G7OVdmZkZWtEjVuHaovhfqnFpjszEfoD
C/w/fR5bvxaCKNL8ev76//k4pn+oJ7smuOt3ejLxW38exoRoDNWs+obK+1ebGl+dDgESZazCsVlI
Wf88jAk9GTgUmwb2H+aivw5jYqjK2U2Gf0kwmzDEvzt8fXQYU+1fmynf9WQMTFH16oLeYsmibfCm
udEDUGwryZnONLKblSyl+bKBkpRACrX9as8sbjTcqjdAzBo+ltYB0zow3zX2WVzsws8ehbJxGIXH
vY950LsG+y/9dy+dtGalKq1zMoU7ntloeanqnDtMvZU4cAUwQLDTO8L/SZjQl7xCXKqE82UW0ajy
hVtUKnsQvRhIqRB7Lxee0qDEXRoVA/uNjfWnI5ARu516iR8/3fYZSpTMN4hXwakqCc8qDNdmqyRd
Tsyb8LRGmFtxIb4OSXVdCMCicL/WaJm2sXDEBuQFebNwyYIKfELTd+UI/6yPkRYS1oC+qFs0wmPr
Y7alRetWwn2LQetSxo6b4bx3sOdG2HRlRpOx8O1G86CSvhMfdIOCF3HDcS7tr7Nw+07C92ur/X4S
TmBfeIKlrsW0Yo4rh6FqInzDBgZin/mcJVXHHGNxHIm5nvAaR8J1PBjTyxypJwWz0XKwy6soDGDV
xVplXzQaMXFrqWMYXGK89XyZOWhVUyMpWPHLYq3iKpCdgb2s3XeKs1Lq+XW27WhpWP0+HyHhWvV3
oxcxQXnHEqzDmvFqm6asEziFO6j6fdmlR7gvwaLSy2U/qsaimV59y1yqKr571Q+eySP/1lkBFp3E
yBetPpMjK7fY1VIaxTWGdstEL1XG5SUV2rMNNdhVCFHzwpRQk5qa281N1HRqexfHxWUnZzLmItxP
wgo0V9Rd8DdDLcd6bl6OQ3CPNMtx26xBv0bqVC+h9bZNble7QXwUJQFkk4laz0rzCItaQ/M68Ck+
Kueu9GkoZkFFaQ4PYbDrxVQ1zPuM6JmyPkBAVzxbIzhbhi7RopF8apO20BE4JgmYVp3sEhWPBuK7
cjHqtMWDNri2fIt7imPSRs0yxsPF6BHD7rj+OEuIqIhi0nQdU9lwiRQSm4rmu/mY2UumxYfMVDdw
zlqvD5wzkU8wgiW4QVaobOVAJiqKQwqbL3P3OB3PBbCympwmDhvJly7u7uNMeymn4SLWO+BfQfYK
OvxUqwHkysE+cSCXlwwLatdvcG6BxLnQSu0rvp2SKi/ksD69DDFMCzW/jmi8eJkxo3Nrgd5KRrCy
jZjmQkCd0PrmI5jJSzUAshbHyWs899D/VJ/UsMFCJiqZbqMLD3ggVH7BwEMdpUupTO6Job8HQobi
vdef2fmecrMjEaktWrfELEgBAXqtsO/iWtorQb8jtYuk79HAyYP+rhAszQJbHZpZN3akx7aa1lZc
HIAsIGe0MJagUn9oSW5yk0BzNn0JV6zJOGMPRBmDbnX0s5oUNjhCMbD/3pz7z7ao0Tz+5y6lGOLu
iueKaKW/NyrFr/61N8pgWiy4VIIW+KvXhG3TsE32Iwvyi2hV/twb7X8BaMHKq8mKrCJGYtv82ahk
P/3jj6FWMv6drVH7brn92adka6QZCpQGHbiusdu+z4QgtSgbR32qzxPxjJSSKh5QlkGW8q3Zhfk5
0hnYhJxKTKNeI2c2LquJx3oO5CvN16+Sunst5BIu9BhuCfbbh5ay6hHQ0oHwpH7epblysHMFoAbS
uV4fX1AoH+SUg57WZSeYaisfFkUTSqtiki7RYtxaU35vjC1xyNWrrdu0/CDpT/k24Sga4meHa6pt
DTu8q4HR4jC9nJL01E3RonfkE3UxlFBzPJgkmQp06hAFtwa4U4l3tEzr4cWJ2qPvMIuqtSctSNd9
2+5y31zhe9/3enXyw/DkcHxAM+EFYXnqyPbTigrohHpv6cYmVJSTg+JHAj4SKzGh8sqSSndRNfMi
lPtHJ2ouwrA7BsPk9YW91oduqaUmCxJMMOdbUzuCZTZAIu06qKX2M7xjunH6fRz3W6lxFr3RYDab
1xKq1qycWf3q66kBM+yP0TkwLCToRB3H5q3RZJt5aq4yu33J1RHZSn4Cg3joTdFc63ZZPW26Cr50
UH6z4hLzKa5c39lqgX5lhbSVbAINWysnXS8djkln0Tadqj1T3Wet0GlomV6IuQjgsXXupPYQqNli
DvptTcRdY0lXsTNuFdm/0wVBy9GWZi4wMyF+2AQZaujLlWdl1TGyU/JTBw546QTtB7Lps9U79Zoj
39ouDRRCY3nPNgr/ZhhfONc7gVvXgVwtm8kZEHg2dh1vQE2GpDnXdXzW5xlUVqybubYmIypaOXSg
F72QOQm9U1ERniBRIyRFW+5yUia9RuijFBobx9GY+0U/gTZLSXonKDUguFmb4ytVUcFTstnAyNrE
OTQVilqiF4UmK1c5pyhCpwV7B/eT0G51QsUFA5ZCAGFXpE/VohUzIF/DTjoL/RfDXixVSMJswErE
UjNWjpGL0T7Djx5/G4SOzJHUG4kaqKA9g+DnPKvGSkd4BlwNIjZ1DG6s12jWj3bc3kuwM+NjLdRr
/L/o2IjNJo88WEZC4lbgFhaat7KHk+sLHdwsFHFxqb8QHw9ATajlyoauPf13zuR0/Kwx/upIyJx6
HRUrkRLVIlHt16B0nvJJvTUQ5PH6Q4RLckMZh1pPKxHghULBZ+Qxp98EQUCPDaFE5qfZEWnY2c7O
hjt9nCiG5F2MLBBPK35diYM0gkEamEsnS6sTnalqlQlVoSr0hQVCw7wMyQsCUbdUw56sYp3OJUEs
DwNIzkVTZeRUCNn8SC1rhUG+ipNx60vpOpadyIOr/AjtCU5FO54j2XoB1f0y6j3W1DHjvrVMFGfk
ZlphShemhvZcqfDR0pmDprr2C/WhrehAskxRFhlEoHcNo/7oYQo0/rikf4n8KluYDirGrn2RQDo3
Kh660ZcXVe7fa2jKgNsgp6c08vQk8Ogeqh4Yxs6d6/ImHNDtyzHZbyOObbB1/oOW0jf3S9/i/tJW
VcJgw2Hos5yjBAR2wWNJ+QIiWtO+ZbI6rnuf8ODOQDgAeRtma7WNotnktfW70m7OY4YNd+KoYmfa
dggJc2j7u1yWd+1gz24qOQTqYgFwO3k8JKF8PQTt3sjDGxrM2HBjMjTqmOpRH7SFOUqHqLMVN5+S
2zrkABBlpbUgzgTvcggReQU2Pwg9qRAtaEolHOR9uNWRF4ZpD6RctqW1PKNqhikVuXmTFauxg3Kc
TJeloIZYypheRpxMfkzN/1OLiG35w1oEmqn7XL88189/r0bEL/9ZjTA2hbuhc7oGdUOkx7uxqaXK
DqMatMcc539WI8a/OLtDNrWhslOS6JQ3f1YjII1N+lO2plE7qPzZf6cc+VWEQDHigFcllkS3VHoC
psare3tO10JFGlqio08hoTnNaRwf33wsf4xp38rJcKn9ohQRV2AorFFR4S5zaAXwJt9eofMbvfWN
sTt1syHObt+QFJ1SH21t3X5rwSbUMG8WmY5gV5HyLQ61TV3Fy84qOdJLJtHRg7bOLcT/DQiQLlzp
TflVSjFZqs6BhxPRa5sM7hymZ6VXjOQAZr7SzgG524Jp0GOzUjXPCFEyMzCY5sYdZGM7whFlQ5CP
mpaFJqifyCKXJEq/VqoYjSCAXeoNaS41hoGHOIWY7iT6F5hj2apVgKDoSVjtFdhTbqDYZ6u0pGVq
1w9OHWhLWjAs1LrO+WjEu6GpRcsJmKV1qvN9X0dPVGoHA5qx42TTYQg406R5scnzdl6AwLrxjXSt
zdHRRjGKAS1/kmSsC4o+wliTMOhxQG4y/CcdM5egbK8tREySXG61Cn2vLG3ystu1YNs9CCOXY2Lv
YiIQ3GCuF0qb7CrLevaVHuOIFW8CR8JiEz23uGZduoVIwu1NGsRnCS8KnEuwdeojCd87p7M2WWUc
9LwycKv1xxQaqplpHPfJDwHI7ha6cxdHc7uZk/Si9um1NHO4byP5kV0ZIZkU73RJv2lT6JvqTKqF
NuvXEY58mvVjuOzsaDullI1GTMy2H2MprgiGLMzkqdMdJO+k58gBYva87VfsRTtilD1H7+91st2H
0DiZDYfFdj4nkX4VZoxpOj9bW3p/DId6W0zDNkBWHvbsppkzbNJ+OIRqem0qReZCf75Henun+Na9
6XerojZ3NvMlaayf6CqVNPsdOBnNY8GbV6dsXEvT/DVhskfgsVf7xkJLxkM5xFiMqwAO9gSovrUb
0CKEhAem9cRTQN5H/Bj4gqDatPGKYB5um+rbVMQbm/a+rpVPXS0/SpJ83ViICBI/psJyPNlIX+bE
v8QINbvhFBySWIT8EtaM2Ny6CWf4eSXxREEUMJHJshdHAZwqlSE1y2wZR3sE9R/BeqHtpaBeN69j
R3/oyiZYSSpts7QUT088EPEU7yFP2uzTQ7UwCEpwSbu4Gm1aJh1omH0fyEDWTK1ZOmnJbFCP/OXQ
gBZqVXMZMX+STYxHTuWTWOtQMoWKYRUUK2bH8133PukQk0R1G0d9dBrryDxUpQk2nY+CsKAyIHAq
oXwCfLzQQ+yiaSfJy3am3Z+3fnJV4BdpRZLBvjRFEPvEmKSq9y3VR6mXzZaBNjE4mnBUq1WzgQof
L4OoO0DuoqWYlPlamY013REHQ5mqkJmSlsuirQpgxVF6toCzE1UO+Y5U+MDz/fKLMU93ta89W0m1
YX07xqGSeY6CQmJKpYNP8SpKXMNNTGP02rTIrgujk3hULT+974hXH3pmhlClzzox1KwsXh3rC5Cg
3QI+4t6qLBZEhRdtDZd5BxCs5IjAGrULKn9D0AFQl9gr5/aQxtI6NMKjnMr3CdW11gmNpZ+u8zGB
SOBDMIxaOEK+iYqRNBZfj6yXcqAcwr/awNuphuwmUbJh1UfaWkN27mko1oGazwnVT1QfZzs5aWoJ
/7K5VCqzAVTWuCPzexe004Ilb6sqfgekA7lmOvW3gkqSqZlHU6VLFw3x78tpaDOHNafbDbJZPOW0
Y1l/pW9VE8qLqYMbwOVQxTPAORdaysABWEi/Id2pX5PXPdE1dMJ7v+IKapfe5FBGF0hVnV2HK36X
xgHmEMPEa6LZ2y5Rsa8U1o1RFVTFeizYy7hDF5Pu44dIqhvTn27s3JgfZj8Hu9YVzYo0DsW1hnHV
Mplfl3Kfr3FUFl7KL7p1b3QPTLPQDdgTUUjkVYTsSmG70TlyuMmA9cfOaNxlxaPZl9scechogaFs
GCZO1i6pplsZa1BPIxC8THjbpeqN3VXOfhRYx4LQrEXhpwxluhgNgCw/YsfQFtqoVw8d7bYF+KrZ
JeotuWISi03R1x7UkeQ1XzVGcr0kx4s7eVp+vD2LNvzPXsQPOgDgWaTpCGoQcNEPebs50zhkVBDE
+akVVPFx3iJ7uRzqZvXxZd5rsXUH7Iep4OYyAG3w2L8vAlqLkLsgzE9Zmh5hq96yKl3YWfbEcgnv
f2LCCyRh04/lKrWTTaOG4CcIH1PzPSvVAVEtbbjkMvS7K3q6Sy0k8AaHdR74r0VnUvXyCOizfTLl
gHLtr7ruNwXMbz8huIWEHOqGRqbar5+QkXVF1DpJfiL5DM7pjUhHCItP5L3v7Pd8D45FcgXQN7pL
lsGN/utVYHiVU5Z0/akM0IpJpr5F26C7sl+xb/Q9rmapf5DKtLgkkncxOfIWiCwN5qlkodLkyznO
VqE0d5cI3p3rnF2pK/qTJDNq1JmSeIYaz65RBKdIIgTG50gzqDw3ZjaglMbeK4xOz0mbegqUivWM
ocVvFHMZplGyTFrti1SrK9gigHu1ygTV4aB7qhhEhDi82IrEcNvcgtJ4hRD1PFpC34KbkznscZqt
3rWsSdrIyhAfgVBkiIcwnwUKR+fQwbytRMGd3ynZTTUAm3WU4GBkJRnxZtluTGVY9gVbnAIgfIot
2uGyeoaikC/GGS22oqUHX2Z0v+oMNG+d/GhLyCqsQdlMsf4INDhc5mU+MzaG1SHJi1mn9Bh5zDCd
0t4apWxTt6RIZsq4Q77+TN5Z+GVKjbVscvq00vCoFiLQsalWJIdxHFTHq8w0U2x7CqFr87ivrOYT
cTVtjffPJfcDD6Qgd4huoSBXv30uwa4UOT9rTzj5njWn4TjNzOpkSjSXWE+fggY9L2HTnmKOCzv6
Th5Ij3wqGLXDhGCLoDkiUHCHWT0ahf2AmzlcNZlRrbpO1reIaTv8UkDJeru3l3KhZxuVTX0xKFG1
4KxOPcJCJGdFjlu7ugbFToBdiPhgHjilt3Qf87JamdmMUtZ8doQwt1cKy6sz9dYkVVCHLLPQyO0x
iwZtOjQnjtbmQ2yb28FXv4Jggqw3sAw46cbMxxvfiQ9WX5PfpV2bxsQdUgI+UK+Nvj8mcXhdRcYV
bL61ObUPdpLoLnWjvDSrjlqQQIGmo3FjGzROtBgRF+EoC8WUniXuCa90tEdFkx6UsK8WFclAy9CS
V/2Mjk8ai6Wi12sZYI+T9zBi6DeBvtMTDti2PewtsALoL9HYp8Jd2N5oQ3lygE01JJtog/ylAt+T
M5MCU0A7L18kfXImj+lg5eZqYIATok3wIiyfqhNdJqWUbCd7XhbNtDRTn14jBU1hBpxLeBh7ybkc
qvZbZEk+2hXhN8Vd3XaJZzYQLgKQeYp5MJnbRxqmBpu5C5TjmXk/FWrShQf0mEukofcFQ45Aii5E
+lkQFis1YS7KLh4OwcZW0se+bIjKhB69Re6jKOyaqT+sWrb3vM7KRSdVMcolYM2DvZ9jLJwOg5tB
CQTxhkV3VpVVTIcYYcUFUKFNkLf7YKgOufC3tm0qndOSQd6UWjs9GPalGldEPIhxFFBsb5DjTVgO
R6nhlJASw6WBzyf6iUjAC9NYWjDUGCGR9mROq4J+n9Xfl7JEi0U+0g+vMSLqhzgcSD4kK2oPutLy
GqY0nhX7+XrosX1TN2yKibyBybQ2dU8VYhWoIS2/X/Z+rXyytX3ypGri+Ptm0K2GzhQ7ZdKdTPb9
vjlm+eiNPdjF4ZzUR7hJnxgihJ7+lx3715XhPahFDcOc0wUrQ1G8KtbXfkSodciDB3qjn2x8Ys95
fyWINLqK1c2iz/5uhD80LW59uR9PM0myyzIaGy/yVUG8KLZhgeElGXvAh7CLCtA1AKFtwzXjAjdm
jDMXFQrfjCJ9w8h9Oeaa7TKjuJOi4lzI1nVK+capB5i9ej0GjELzFp1VGz3lsX4vhWl5FXRJvzTC
sF1nRrc3YtmlsFhOIDY8Srx13mrWPZ6863JOF3RSdp0G+EFT93MwbY3SOQ9JsK/Zti0p2SeqyKlE
KBPa3lgq91lZEwfhb8G5iPmmjXote57lyfDSIXisRqe+V8XoVm204JNP9dd+y4+N/u2H+s6TkZh6
DhPHHk/2+BTOL5P9I13sH2Xwn/39dxsHQgtq5CCZTpF9XcZkC2q3n9wWH98V5rtKDtdKIidqMJ0M
9QLzscvHJIfTj67iP76Ld46P7+WQqZPLQEmK18B8d+uNDFjRZPIuHHiV7Zd2yKhJbqPR+uTbUH+9
x7+3vzQL8hFbrUNpqry70BRHOZrdUj1RxnxhU1vcpCsiCpawMbx7N3fvt6bXH16uUBTejcvndDm9
8EQ3G2378acq4Nl/e9jebvjvCkCnj5zSCVhG2hVZJp68HK+7dXYZrpylwL6tlDWf80rxgHi64dJh
5rDUT/mXj1+F8btX8fbuFIvPm8UMi0Bqq5AuTw/jVl1abrtyLiz3jJQhXKzvDe9gLrK1cwpX4ya/
NjY3/iJYjxvWPXdeFyB9FrTOFs5COnSbfN2cQ3AvbrC4K9zuJHvT2tg6WwTxm/o2W11//NLfAfz+
/mC9+wAltUG0KEXcly5ZNKvmFbD+jbKA17IgUnABxXKV7Yr1xZfDstuSkDR68Y7Jwi4+kXTg+Uvo
eV997+7jV/XdOPnBGvqevhbRca8tk1cVbh039OZNtvZvcqzdjBtc0/VdQiDcdG2fqo36RCNt+fH1
xe3798v/fI7erTYsNRIk5Gk8yXOxtIZhP0vJqe9IdPz4OmJV+eg671YdG+IOQZLpdKKmdvvhizxu
BvgQ2rKSW1pRq4+v9vs17q939f4wKWUs/kYVdydC6jj5XZXB5f/bBd6d+bTRTk2TqIETQGI1pg/o
WIuPr/DJF/NdI/DmQZOy0s6tiQetKE8NtohSfZjhRH18kc8+p3eLW6OkaM2tuD2N4lshfMsZ/4hE
+MeF+rP38e4G64q56Rg2TaeBhOvIPGUJUIfs4uP38cndZb1blUw/kCaac+wGpH7rTr5M0vasaZ1n
geSNkTv3kBU/vuRv35fxXUViE0Igxi9vF0IbVYdfRm130rNvdbxKtJAm3/rja/z263lzjXcPTYrw
VqpCfTwZMQhl+TLLPukqfHaBd0vinGSjFpO3dpJZtGlGJ1r6ycf0fX/86MEXG8qb+ziMGPr4Kfcx
ZwO38oId5qIjRwRMyF64DM6dm+0//tSEl/DDtUa86zeXVOj/Ka0askc90BjOWVWJt3ERtz8rh3nb
uxdgWfmBaywzT3HtS8m9apdiV794rC60Had2RG3LqXU3uReuP3t5v93I35Yu7++cqB5kxeehU85i
I5dcAjP1ba54brLWF/e5u8Matv8mv3A4q2+nPXPlT1Yv0Lcff0LvvvdeasywciZqiQV48gWODRXf
yD5dXKGZPUC2WTyC3nZzOrYrRCFr25M+WaE/ewnWu1ORNHZEbA9le5L2hTviyHPjr8YKHOq+ex03
5TI7WGtpLX0LHjVvXCdngq5fP7lPfp07/lkQ/Nwl3t0nSa9lepNzawJXWcG3dyNR1W0T76bfEr+I
isKdT4hi72XM8tmqXFsXwCQX3TLcou57Sr1PXo8ojP/2qPx83N9HRdqSw2woZ0mpluQCrckDGFfz
aj5Ee8X9Emz9FWl223JDU+8wetbtEjcfX1G7TlbX0UIUCX8UB/8Z3eusQn+1eIWl+pfY0evwuWmf
fzOz57f+nNkjEyTlDQgQzC+yHUy2tb/U9dq/GGPRreUnnFBEZ+4Pdf331BqOydxyONJ/GKT/mNnr
MlAZusc/Zvn/roTQ+N5U+HkvcWwhMo6/osDGRrFIWMiva6AqLl6mVXohpxYGYJ2enKIPd71lBmtk
9+cylGvGr9ExScl7qidCb8i+YB6IyKofbXrm0ZH+4w05Nan3f9g7s6Y2sjQN/5WKuU8i9+ViJmK0
IxBgg8vYNxky4Nz3PX/9PAdBlQHZ3W4R0ZqI1lxMdMlkpk6e5VveJVVQshg0B3CuN+INoq3suEFI
0YVvo6ygr86ThPpdRw+cFPxLZWD6RXNkotG1rfpi61vhZqibByv05x2gNCDW1IOVfIO95h003aU3
oBCoVRmykkHSrMK8XGEqf1aF3jwDfTWq4Rx9Jh+DsPbcRHjD6tqLTqXEP5R6gBiIuo0RolFl+Ra0
n7GwXLeZ5rTzlyXV6qkDMHGim9UaBCOy+xiB1Kq0crRwHvnhtduCC+s1jSpyjrMbzoyTys4XnZnI
q4SHO8O4iC6Z3dEeTZV0IqG/6GjxPdZA+XJQqbIGOLJPpMG9wezie5wDeJbTTqL4Gm4iCGmzwFOj
edrmMawxCwh1nw1U7+x5JA1r36hhPnbxpxqnk3VSpDOozqDRAU2ltrNWaDROqPJunFS9Kfxmifzl
h4Ce2bwZcTYdILbJo/1dkRCkldT0A86eCT5/zpcwVD4S2EvowVB0bWBKTgdTuxmT4AvUy1kXJxrG
JjDFtSA41xXnLCzk71UFHQ4ogD5Tg2aY+5VJ+dzVPjS1/9kPeX5vIAkaYftOzVxfwS/HjzbV9Dlu
MA9ZGAGVjGedV070gJYiXgDmVA64j9xXROFOCkkdx9oh+diXej/N7JzeodYsPY8ovUhrOIJ0GmZd
yN+hVOnMoAPryyRrLrPM/mwoLu+9auC2w/iQk/yL0gTndRicl4ETnEqgLNAep2Ogq9S4nWrADRfP
EZxz86WrZdDJnHOKxNYpDVywDlVwIYfZF2x3YZXG1LmboAQ5D8Oq40EpE5Lvx+2qUOQrVYUiaXTo
DCvuWek1p1Waf2qkdplV6cbPsgVUVYf6Y4BoXtU6kGRxejNjepq23N6ORfBQtQBvw37ZBTmOLilU
bngFNAX5VYN1lRUdbrlOe21H8QKiXsGp025cKVgMsgMoIb1UjPRKben4GuOl1JjgUYd2iQYyNJSm
pJHjjzN1pH1qhjEwywQyI9aFLhp3QheAi1IOzKc0xxNKwQ0Zutx+96M+mvWJRoM5F0s1qr71AM66
zAaX2je0IwukkhvHWWKifeor4BpGV0/KiQp9c4IFIxAHqffmRq9BnbR8ONmSrS1K/HM85AbWmRuF
YAn1+8aoab3AS8+09rYYm7vR6kIK3PRgPK27GppQ8OtMkHq1WRO4qy1YnCZVyzPVi+sz9p5iFtr4
KwZ9AXgzTepTI01Cc6E1dPk/tXJk20tfL5VlgzMNa6lIFfpKfTkiLOf1ytxOJR29vxZ40woU9wBY
QwNyfyGlydBcOzvzLqeUtLOmbyg+GGns35ajrraXUZ2vMq9WEFseMBXSI30RBIY3KeRxq5Tex8rV
8I6N+rWup82ilErQs5J5ZmAbO8N1Safzbd4VWVZNotpE3CDUbyPJpKuOo+1EkUdzrWVM5ii1EW3S
YSENRvY1d/WtH0LYq21gO3ThvwNipaPvC73XtMM9Vm5pltTgmoao3wyYdfSBQwqSSxs9LT9IbnOW
2NnXNui+jxLQlx6EYaXAFfZy/KArrV/7VEBl9IwdK98GEXr1gQvaRzXwNUDegxI9WA81vHAr51wK
hy+xr34fFZmreMb3qE2AMGLVM67VoUfw1Sjnrld+jHq2HtlHBrqf9fFZ7FsbGV7pzOmzLRW0U1+D
vQLTCbO+YMSkTE0uTEsITRuON5cl6QPa9Oqss4xxFvTNhmLrmWNAUGUU8pWVFrjgZHK91PSWvR2Z
R3oO1nykJ4wigHRTR7PR8D6rJRa+NngHUOn0q+3I6bg5eE+h2KuNNCVHhDpnGgh0mgiIaCR93uGP
0p3ndk032QaB6ynWZdClmya2kLnM3UsnReAsqVZeU29Np0MToY2uh1gq5mOCgrnrcIAYYfPJbZpq
1nSIeMTZOpRw67Ga8ZYGP4i0BmmRqEa3z5BVpDyy+qFynE9s0AsZJYUo8YV5lrYiG/tUtMFSCqwe
5o18WnQa7Nn8o2Nk3wIOOpAg8oUOaYpWtIsLpO5CAFDKqSGXp57UciTUnTdRDTCxfhSdOmh9IEiQ
TnGFKpaVEXTTQK9AQDVXRCILKHh/tglQ4ajAj7kBrTI0ej+PZIhLyKgWQNpcwnCo61OrDbMZXKZl
KknK0lR9+7RmQKcVqDocw8KJbdVr3JzKSWE6a5SmP4FYk+eAlzYRW9ZCCkZvKXXKWYyA5xRNAgDl
rLQzT1GvTAUpC6miZ1inMvbnaqyJ5g2ixlrhoh2i0YYKrvwm/FOSMQWDNoAqcOCywRndakxUloRh
X6klvR1bAdNrZv0dwmOfqQEhQWnd0dG96015kVfmbRZ5t4g3mrhXBadukt/Kmb3S9PK6s9UzeoNT
TR0izEv9M7Xstl4SLxtLfXCice01wYcREyzsVOXrVBebOGos7PX+LhH4T9gtMpqfh903D/422RN2
i7/6MeyGNWrofwssvgi7QV/o0GPg6AhZwuewWz7RDdW2IaYIk0dwWH9DZZ0TlKrxrMLUxeKPfk8O
2FBE7v4y7DZx9BP3oiNvCo7si9IDrgaaHPMYl63jRxVOpdonz5DhLqTSuom9uQIHcWqIdeq2zSka
usokS8DGKa2zro3InOYE0AsvBJkkZcWyCSGTpUoQ0wNO5mGT33lqD+FsrJsePwEza6SZJjV/VsCm
Pg4wWJZmaaIjqg8mrFJrZhYAW3Pa5hvgxQ3iASqFeUv5VrvVd9lt6lXepZBgQiWY0oaP5my86On0
H1js5ociT4j4og4RuxiRltI2k0nssMA9OORgQqA60uuZ2320CL1GWimh5c7DBMA+boD3CuwXaA1C
bb5Ow3ZlVi5baz4iwq7RB43cVLl0VWx8+yblv/lOurKAyqF90n8YgxigvSWzATgA6EeEnDmzxXak
dRs0vbF19dd9qq7qEkYq/oLbGtTJmelB28vq1mDzCD9mRjWNzOyslWTqKCZ+FNBXUW/wwQWXDWJ4
Dbta6ZvuHGS8oPlfO2W5Ii+yT41ivCq7aJiRr31GAeguK7OLAtASvCd/jUrilVG7N14LkLCD+NBC
ISpz/VRunI1RIXevVpIJN0W3luBxbsMuXkPD+dKHNYwNR/reezbom9pZBHH71Uidhzy1ilNF99FJ
Smub2JBhwbcLpJ/v+ecBtkOTCJDeVzXNruwh/DOSrQSyAQ2COMWzWrKdbg4QA3+8qvpsttUX2yS8
htE/j4A3YmqIGi7J4J8ZOkuLRI7RvLJNb1bJ/U3Gq48fY66gldEZGBXEd2Mpm3p6c5WLIE0W4Rp0
6zs9r29b4jj8D/SFqyn3uQjxfBHspa46cUX456VWuzBFSAiq0OP2cCQaGaCP/Bg7BiKMzHXtVBKB
pWcn6C3bGQuBqHMg+tSJQjURjjoQsOZKWKGUYFbfu5T9Gi8dvMdt1N9zEdIi+w7pzHUmFpkiIQVr
xO2zeNKKYNjFM1ET4TFyVkuvJWD27f5SI4JWiaR9ImozshHtDRaNipMwnOqNwzXBoV/nIhg3icqj
xPxsOckl6RKETi0cZi4RfASQANjxQ5XWt0B/5FnWw3rNwhxjBuQppplTwwAO00UW5RtVbZYViisV
OUNUeOd1gouDQjYRqMOVSnahNwjJWCLhKPv+MonVcW3L8Ref5MQwyY5MubNOw8I6V53kIiCRiUVG
Y4vcJosiaGgi3/F8Mh/Sn+C0IRlSSYoUkqNYZEm2yJdMEifdMj43ZXWpiozKjzJn1ossC/wHWG2R
eUFWxb6qqZeenqSQ9cZ+ijb/x850P0NPw749p4IwksyNIqvjWKRtB8U5J+lzx/KhEFmgOsaYGCAK
I4sM0Re5osOwTlvSR5U0su6QLNFEZtmGlQ4SpjRXEWknzdcznTQ08H1r0ovMNCZFlUlVR1JWV6iN
gxaHAwRyZBKR2BokuFRQRQKRflBF7quQBJtOs6xFVlyktktnvv1QkjC7JM6tX23kx0w6t9eIaIFd
s5IPMcl2bwXS2if9DkQeLtf92iQxb72YXBRCuRCpjqdmijFVLDL5UfY3o8jtDbjUaLvE373RvSly
D+SZogJYFzWB3g/vy9y49DKqBbKoG0CtgIgvagkdpvSrmvKCJQKgsRg/DKLygONETgboXfdaMG9E
cYIiBdj/dqHn5Rr3M9ifiu9N8R0fllpngrIzM2OBMNRtQuEDQdUtbPFg2YuaiE1xBCrzJ5ViyWhl
/KkazPVWX5SUU2A/ngWUV0IcDVYjk2jajahyYCO0RFTtDiuOjeGxZ/eCO0i5plDKB3LsTU0ZBzTd
3BJ1nWpAYJNCT2ZjpxiRu/SUgNwIYjslIdmrF3rLJJDZj0TNyAIyOzNEHakfrJucwhKe4fgmslEG
mplhCGGtWNz9pKYcpWjkzn3lXJYO8aJKySpm3kK4R1vdEqFWq4LWQTC7BPg1Ma0xW8qDt+XsLOdZ
4DcgOIZsLuMLcGnbkr2UwFIuy6q8DSLl2kibGCUo55Ni1V9CkLQTVH16RK8oskCkAqrQoz6k2t80
8BfL0ikXPN83dHEyijHZfeUC83NCIPKpr40XaRQaMzcvrjjzNp3Od10OncFBTqwGqKblUgatrrl3
zQhrF6u416DuhqFTTV3JjWD0uxsF5PtE9waa+JnTzry+1iE2QJVklRVT1zZoYMqssjyg7hSgk9V4
qwEh3bnFPinBWeuk9HrIMIoMpPArNkh3Bqx3zU9oIrvRkjiCd+C21wpiNdOiLSxk6K3TvBacvlQH
y05oNIVNOVAvUKpLIUnuDcl38BvZFMrgJeajKNFI3rmMwceUPOc7gmVka7rzpRMcW6kAF+ml5jby
oWTkEGHkonE/lHa6YTfHyHqjt/7SD3QD96GGlEHGeKm4yGIQ/Cb+lLLngfUv2pFswyn8XXfrP3G0
QVj5izi6ibclvZA3Cp/81XMcrSBHbissA2hXwo2diPg5joaNBs5FBu3ioF73QqnTPEFa3CJYNuTn
yvZT+VozTigyEwHZ0NWB5Oi/5cf+VhyGGzsKYi10Q9BEQTP9ZRztuYVcpFT+LjB1YjMKmq8Qy+mw
RrU1kdt4NpSxKAgGU/xPNwGyIDND6appmbZXsLpOLcelrWaoCFYC6ayk4IzkcTNYYzfJ1OBalqP7
liIKZMkWPKfUYRfTqZtsLEDlyaY3Tar8Eq2rz+yNX9VKv0XjCzsJ3yHuEQRRRxoXsS5JcwSi4MpC
XLUwjZngAfinYadf8yH71PqBSiyKcIlrmn+WBfKWffq5dqTPbjrglYr6lhZs2sg/r7Pga5XZySRw
rCsqU9haefY84YdNhjgwl6qa0ZLMvqAlBWo21CjA12SoRdytiPs+DSpQNa/uFro+1jM1xFlI7wiG
EDq8L3zItSAVzqs6vunSkf6RZ8yNyP6YBc49EhRXAY5hsHmgPMleWM/drruw8/ZWjtI75EW+uAXS
wFl6h+C8M22i0ps3KPutKmQ5ISSvUJuBWOF9jVW4PHlsgw7G44xtMLvrFIe8HyuGZEBUMVfhgg16
QshbsDXSVT+vK4hmugswMZ6NnEiLIesWctkhhOOsPNX4OIztdwymHhCRvtECjxrueIupMIxdi4fk
JTlyaRB/4y+LIFqBD0NhfiD43fhO/z0OHTTyJIjnsivjmI1+Mnzdz7pnfNTrwQUQHd3onvq9Uc32
dAjEn0NLWehac5tIzarKfKiFWCA3NcwkEqWQZCv+kulhtEDD/EL1DRnKL+oqhZBqlHVJyJ0tZAuc
u2nLy6L2of1FUKCanLeGCQskH8OEPk0EVYz2wgyqaulWOGy7SbEWzAdIjhCfjG78aAEt71Jj0RR6
MdVHRDvx8wLVVfc0qxEHnHEiEoFYiDXbI5N4qHiHiZp7864crzOv5K6pvfDcduHKzfVoa+ugo0Nh
qWRVVeF6My8OMbhrors662/tNMDk0sy/yUpW4ujiTsuux6ldDlZmgft6JvkrGT+ymWRF6VSWMyDW
8lKREdmuZMlZYTczTLTWfsA2+5ySWjuhGpTP4Xedmt4woEfbpnMv6XEjM9auirc3szGZmFr9rRJi
ZHKpmDAz8vEq6U31TE+RguxR3/BOY9XxsfSOus+qDadpXkqVH/zJMLj1pVpbXjc38fxemG4ipzcW
4OtsBtB51FBAjAXw3cY3mEMyMBGkC/wrrei9LxBn5lXMFJrovu5e5HCYwpp4yu56ikjeyreIwvxC
lvC/MfoPcizhtVYE2JtYrQZpwY7HGclTVZxCpXfRcQn6Gp09GXlZ1Ie0KZK+H7LM7IslQkjqbdSR
/Gxi+JbsM7GvzHrTupO9BhvCyBxKut6dmznCMEs3ClQIVcu7kWsrrr6obutRxdRG1Z8VcmK6XyMj
QPhSVtEwJg/vkZZ8PCX+c1walIJ+flz+yTnZ7KNoiz/767y0T0xNVSEpyQrCMcLY48V56RggiHXH
ltkI/6o7afqJIytQdeB1Q8h+1Jt+Pi+1E2h7qknNSYagIb76DTG1l1gkgVHFfwqvT8w5FcMh+np5
Wvay5LVlmXJaioOBajfkD7p7yeSHcbnalbF+ZGor8pvyFiQwmOAYKlNoU+XXHgNKDODbDPUclV3D
+QTBmTpHYsXDuKIihmaXVqeNfloRKF+HKlUesLtoqNjoYOdZiDUEfd4zBQ+2SW6VRn/lI4CsDRmK
0+bgWdVZG4WV9rVlI7evOrdoW1gEUCRavQ0mZiTF6ODHlTIP8jxT51kXN1A6JA++bFC5KRH+gHkP
YobyrErvjFjvMLfM40u9ocQ+VfIohi/g9hpmSqQJsSB/k81k2qXcClJ4G4eXpeCJJzkAfd+50hT5
wYBJniLw6cIst2BhpzDNDUE5V2lAglsM5o7uLpyENlhy6mK/Ds83QZ8L0no8FN992/84QmZXILU3
WnuNwxbqpXoZfrEirCcFnHcjWXmJtohhruPA2eQIceCIqIJPkiTtux5W6Up3UY5Ia+yiMU4sJkEs
QZPvhLGFc1GlFQokqk3ygIzHsk6tT4Mi3YKex9Iv9KFx1bWnWhPEUX2mBeKpBGPB3NbFJWp1oURm
+anUa62fmXbqf8T1j96yhUqb08v9rR6DTLWoJNXwY9HX0KWSBqYxfizM2l77Ero7v55jqgDdvKig
Uo4FOEERjUhTRKcv53IxlIXn9XZ5gZjnllxQuR6vrQl97Gm9Slf0BPyZN4e2PS/nILjW+kKbqyt3
+g9NC96AyEB9E9I6piGCXbRBXz4HVLauQWclu0AmeT3EWFFFcG4nOawFWh2RMy9al3ananKguba8
8azSXSu8IzMq6LVbYBFdfKJsdfxa95mzqFRMYes6X7j2+NUyYCOGruRjI91/LmK6m2pZ4PZUhdqM
ZJo2j095A+vIObCLJYIr0xBr7ULH0Gc0nNWoURpV1SWERNR96pJJ4ejTNklXIc37jHbGBAGoedd5
56obETcjmTPD0gsHkrCasYgvOhL8ZeHB3YHB8MlDJpHGyQaZalnI9CzliIlmOQWdWzm8/vUrfrmJ
PMGuZIApOmoSpua8iu2dUe2cPHHLC7nF64WNANfMEp1UKfDnmI2iMFD8I4rmfszdD/d89TalvrXK
NvKqi8LTMNWmEdmgCjhW1kpPmk1WuDRHTajuVgETKa5QttPT4XyEtIwgk3GeBfatHMABbivpO2c1
0rgFrD/zg+yOd4ZXfE06WHFFWuQ7LON/zmTBFfr5mfyFDumeBJa/eT6QhUwbTRvU2xzyQ5qdfx/I
qnpCi4gcFQSUzGZC2vvUCMISG6KhDi1SwVUVjBRT8/lARtxNQWzNhuZB74ZE9ncOZHo9r7cxKtGm
TpmJkEEFDMZD/IhBrcsuTGM1RHigJhWluYxrYnlTq9jAhipp0aik2U3QKjGRbJJcV8LJDjIuXlOj
i70S+k+oXGJ4V+jahVB5mRMz0++3wgdtBCtRqzjl+VjmOU2Hy51w0YuEn56DvPk0SaATOo2b3ehV
uyllYs8aI7428Ol3ewVAWOHSp3gWwpXwmucedryzSlE+JcLVL46B5ITsDsiAnWoY/3kFDoC98AKE
1R5cxsIfkDAIzRGzWzlYB6bCQ7AQboK+8BVEQbuZIugOH5QhuAQA7GJeVzsrgBBURTugpvWjDqJQ
RIw9tBFh38JHRC4xqxDX1POQpleTnDe0ayKkFTuhsVgjtugI1UUD+UW50eeR5clz1WvXEQKNlDUx
klY2mVBulIWGI/4VCe7e/lcDecfedPoJLOfPXhF9Fm3nObJW3cRFFLIW6pCa0InUUgXjTQ+Dx5GT
XjLRrBSqkn1qrs0Sa+96pAvmCOnJWohQ+m4nT5AP+MKLDqeOmV9nknuho1xpo8GvudTCdTQtXbQt
ARy158BU0L2qIb4V0BdpnVPlc8cLI+OV1nk/K1DLjFDNVLXy84iKpuTCe8f1eB2hr2kKoU0qlJhH
e+ihSZ16CkccNhpGkiCunEswh0ieJjp9NvM86xHxzIScp4GuZ+6NHzCXB+Fl0WXvkf5shQgo86Of
mnYR2ZeIkIfaN1mFV3tqkZjPkfI6k1x9pPAOzGUWG5Rgfct4kKpogQgVehTSsDAxtJ5AyzWorcdr
bMFKkGq0xNREOdcsvEligXJxZYUT27CD5WBEc7uAFlpJI0LbhtFOW7uEd+dFd4Wa6zDE0ZEPAOXM
s9BZUKQhmY5GBpnw7hSaCuhxA6P4jgU+hbe+0rz8Y5ymPTNbP+1thL7yKJFvUh8tAFfXV0qWAm3E
2JqTzEwQqe6wk5TTiTa4D8OgrgL8Vk8jw7gpa5feWlpPrUibWpZzgfJrjHi5YSJ/18gTKzZPJbvU
L616oGGJdtwUh0lzAYztuo2EgG5tnMtBhw1aOqDHIhnrMm6CtTJkZ4UeK6dFhteAV8PT0m4rxb2U
Om/RjUjgUqoBjlkG0RRjlGU1UCmmGjyzi/ibHxsLO8tZ6iyTPLd6Bjb5mvvVure6/DSSLHsWB4py
6Xe5Ro1C8j9SSvXW+CxgcGm7F20hYUrqIIc7OIiN4RZLmk5zxwXmOCgIlA5FTg1mGNGkUVV3JRc1
WuBVpi8Hz3VmMkzy07xIzzxfRsbGa7Q1eMBxXYSKtNQzNBayIv9gSlTJx2hYS7J3m0uJdqWGMMHZ
/UADBroz9aN8LVGU8noPClWYfyms0Ptepcgl+SzjD1YYPkAHBXyTOhqttMdj4//B+fn0iHv9mv4S
yhbfXmUIEt1k89eOT//UP3pOGvdf6LcMoITs2IsT+fHBHi2ofnmdeIuRVHOPxRTHK5BolYyXErH4
cOjFWeo9fS0hxXJC9QvTSJ3jknv9MEY/G4Vf/8CPb7yx3l7nlw//ukYuSIMHDoKOBSjRha0hFis+
DOuLQaD0jv0UmHGy9KMcA3X3cnYMr78m1m9OBLxOVcTn8RbbNwaEaNQ8dJmKxZEOgrJ7sEMGwTwB
iIR2ngVZ+fHzeiKI5eKYiGiTex7lTJBf47X+lS2BCBhhU5K9xw8/9eVqAIDFxzCs3co7wi3h8EFw
ThzNpHIGY+TxQ9rxYhDYF/FjoNml7bKi4xsEeTdFD1sO0O6opihPg8D292IQ6DtaNlAGW1AI//3L
4cf006AV+vhMv/f7+YF/n43s+qAWTUdxdlsida3XPx9oNQVcMtrHzzEMApvgyxNSrOJ/YSREIPDj
UFAnhxdF7efx82Y5cDpweljmsR4OMi/vwCiBcoMoT1BMfzUP2Ass4EB4d+8myu5Wx7cjCAHbA8dA
p04jAxhgTew+r4aCHQE+nCa6Dc/f//v3hTdLgjLUbp7+3ubwckmAucCph4DoJ8ekKHexfShEVEe5
L1BsOzxyZhBMWWNj0H8SNconfMmMsRlzPsc6FE+n+CHzQT2hk4fgoiCPvjwmrBMF7DvpBWeS+Bzp
dJDfYzog3Yn/pLJ722+zSfVEJtMyqf4e6SC8oRn/dvwMLZjImBdO4/nxI7aNFym1esJskKEZH2tK
LbBbBx4U9gn9QMdBznw3518vCtJJRdNtg8b8kc4E+eCcGu64JVqiqhgJ8XkTNekndOQ1oqbdcXR8
IYOAExw8EyyVlqz6FDmK7e/lciB6EshBvEwfl8uxHhHCVujAoeC0pMmloAj7egxYDYA7Le0JJnp8
E+END+xf2ReRNjBlA6/C3eftIBBPKYRMsP75HOtEeOPz+NtDoTlsfvgBEhruRuLN7qicYB+hAEI6
1iNCOEIctho4Jx/lo4FUvZ4I1GNNOrtEjs8ThVsd4Zo4+IQQE0FXKLBgIvL4eRMrkERAgLSJJ470
mFR2y/TAyJmo2QCEvhuEN+V3gyzDYJTIvsXnWDcGIUR52JqgHWPTZeAwfCo5vR4KkkqK0wyU+tce
epRLQ9lN10NmhXGCHptIr3cvXbz1F3EDpQYRYrKR7mKU49sfnpKcAwZBRJCaAIk+193eBE8qIFcW
h3y8+8PhWaV5wjumuqg/5c+vB0EUnfiO0/RoZ8J7hNFYCZi06J5Oijc7w2P9wdR1UZ48zj3h8KyS
Jc/mZ0Fx2p0Ub45LFZNQQ0FF62jjpoNjBuImQgZOiF2U/LZbLVr2fK1Tpj3WmXD4ctBPSCSQ/3ne
E15H0Ip9gkEZBXtmyzHHDE/ljwPOCM08AcFB5mg9Fd1eH5TMB44H9gVlF58c30H59GCHDALkSNTs
GYKnMsPr+UC9Ccqk6Fwca71JO3hn0CwyKlm2hJTJc+L0ImR6hNnKxBPasc4EobV9YAhtnTDVWQzI
JT6v/BeDQLTgmCjOcJA+D9JRHpcCH33wUDjYMwIU/UkDm52B3o2CIubuXse3Mzz1zg7ZGUSKzYu2
rKfs8s32CK8LmoGGW9aRHpdP1eFDBsHCB910TPpwuzn/ZnskqMCImdNy18g72hT74EVBSsVyECz1
pw412+6L/YFFYUBnwu3qaBfF4SkV0RH4rb+mw5vOBJsk/rHUIp6q3ke4MxyeTZgnprWjc+5OCt73
y5lAFdYwKb0dLarlqfRxyM7AizZRG9aEQIT47BkEhDxwDDraUrSwNz7woAT3aVBvJ4rebY+vKwyU
3XBllqG+HmteKVAHBw6CRh+OyqNt/gTQAgoauWuMrY+2APtGZOX3OzPUmjQI4PDUdsvhdbQgNkaH
AFt5Cs+Ob2MUwjAHzwRo8QZMuN0YvC29Ek5AGKDedqx5hLZrqB+yMdrAOABC67AfHj9Eh69PBzQC
+D+K1OJzrCGTdnixheSa1FpXwf49fvacEapDfdZxjhzldfgmacCCUE0ORBJt8Xm9P4jiG8sG1N/R
Lo3dgx2yNB5TbEh1z8flm6UBGli1SbvQlBJ70fFtkk8PdtggiPIileifpVTKiTgniJyOFut2+CZJ
7dECsiE/J1Nv8koAf+QRHKfHGjg9RXSHzASRTBE4CWGY/XsCg4DQDIDbYx0EIdlxWMwg0Bx06Tgm
ntLqPXuCYI8BDD/aPeHw08Gi8yKD4jJ/1p+ifY/cNajI3b2Ob2N8I7z0+yE0oEYQ35r8M+jnYwgN
hMF8Yigd4SAcXltAfAp7XTHj34aNfGHh6vwb6+CfGKK/uMdTP4jvH6nJSBo/UkB3lNt/+A+eebtv
L/ADo+iRV/XiX94M+cPu2jvekfjf/7O9T4J0FlR1GdzV6mMA8MO3zwHB452e/v7pJ769+YubPf+u
5/+4Ch7KbXnnD49fDE8PerFN4Db/b8z/u9/u50P9/TT//V8vH/aHnfDXV0fB9eH1xUX8+/zfxA/7
Vy+ebO+z8vlCp/f//V8UrzUuzpw5+MknTV3ve3CigYOvPd3G25ZXUj1f64dnJ2s4/PpZ3FRvXikD
Q0n0HS6e1uX2j2m210pMrOSDbzF7iP+4yMq9409wcPD15/Efs6xk8jxf64fx50Q++PqLEpn0fRfn
PDv44sv4IU2fr/PDg5OwHHztVZN8y+L7+vlSf19eIFkPvvxpkj+UwTZ+vtQPl3+PJXuaDnsGXRDe
D37ys4dyz5iL3sfhlw5Sb89GoLzHWj3fRnv2MMFDPvixz7dV9bBvTN5jgZ5n1R//m3oP8cO+kXmP
JbrZ3rMBP4/DDxPxPZboZlsG+4bmPZaouHae7dvdBSrg4Ne6eUjvs7tg3+4luszvcP3y7uH++UJ/
j7vo3h5+8Yxnf77OD9d+j2W6yfaOyXusUi5dP5QPw54nf4+VerHN90x0wSc4eMAvHtrt29gRp6/3
WKKX5ZYt4Pkpf3id77FEr+Lt3cOe2FEUJA8elqu4SfYFd8LM9OCLfwwIHavgfs/IiKbGwde/3t6V
pARpvecsFQ2Dd7hB+sfkAfHtfTd4j6V6vRU3KNNteb93IxNaSO/yK2bBg7fvR7zHqhU/YsEKuAuq
u333eI/lK+6xzrZFs++0Eh2Rdxml8yao/rj8FlT5vt/xHotZ/I7Ntn7Yd/33WM9cHyflybb8tt0X
MwjFiPcYKe4xxeFiz2YtCvHvdYeyGZ8v9veeqr/Lwv6VvfSjCtwByf41NYy9Q/MuizmoomDImj0D
8y5rOYu3+6IHUek+/LUSmOxzFxQasIdfvN4iQhlvmz1xuP4uS1eUWfacw4I+evDT/9J48dAJeUOM
H9R7gjbRJjj80X/ldXPwozcUiJJ9dTmB1zj42X9tPHDow/9CQvngSzff9my+xj9epfvKsn81dN8W
a5/VHff92ctatPgXd/HDtvyf/wMAAP//</cx:binary>
              </cx:geoCache>
            </cx:geography>
          </cx:layoutPr>
          <cx:valueColors>
            <cx:minColor>
              <a:schemeClr val="accent4">
                <a:lumMod val="20000"/>
                <a:lumOff val="80000"/>
              </a:schemeClr>
            </cx:minColor>
            <cx:maxColor>
              <a:schemeClr val="accent5"/>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95000"/>
              </a:schemeClr>
            </a:solidFill>
          </cx:spPr>
        </cx:plotSurface>
        <cx:series layoutId="regionMap" uniqueId="{00000000-C0A9-46A6-98F5-F1F32C839207}">
          <cx:tx>
            <cx:txData>
              <cx:f>_xlchart.v5.6</cx:f>
              <cx:v>qty</cx:v>
            </cx:txData>
          </cx:tx>
          <cx:dataId val="0"/>
          <cx:layoutPr>
            <cx:geography cultureLanguage="en-US" cultureRegion="IN" attribution="Powered by Bing">
              <cx:geoCache provider="{E9337A44-BEBE-4D9F-B70C-5C5E7DAFC167}">
                <cx:binary>7H1Zc+M40u1fqajnSzcALgAmpidiQGqzvNvlWl4YKpeLO8EFXH/9l7RdNRYl99A3Wg9X91N3dEeV
lFRShwBO5kkk/vnQ/uMhftwUH9okTst/PLR/fvSVyv7xxx/lg/+YbMqTJHgoZCl/qpMHmfwhf/4M
Hh7/+FFsmiD1/iAIG388+JtCPbYf//VPuJr3KM/kw0YFMr2uHovu5rGsYlX+xXt73/qw+ZEEqROU
qggeFP7zo72Jg5+ySIPNx+33CLwnU1VsPtiyVMN/q1R1Hz88pipQ3V2XPf75ceti5OOHP8bfuePf
hxhuQVU/wFhnJwgzznWd8qcX+/ghlqn38raGCTnBusFMiuGd56+92CRg+V6/nrza/PhRPJYl3OTT
/9+4ytYdwWf+PfFXeRh+nQEVDwD68+OnNFCPPz7cqo16LD9+CEr59PMVnS2HW/90+/Rb/bGN67/+
OfoL+PVGf/MK+vFP/d/e2kb3vyD/7xh+6B+HAJ2eMGQwwiz9GXS6CzqhxKAWPE6vMX+HR/vhHl9g
AtJjkyMD+bLYpN7jAQa2fkI5NhizjP0DG8NDYOqIWwhvgzzdo/0Yj+wnQDyyODKE/x1nQXoIhNmJ
xXXTwuZbCPMTCi/TpMY2wtM92o/wyH4CwiOLY0M42fyQxQHGMDvRYRJGhAGA26syAmgJ4TB+0fAa
DeF/T3boDYC37acAvG1xZADfbtIP58Ai5AEwpicGMyiFkfz2WkwYNrgxAvldTu3HefcSE6DeNToy
tJ3H+MOFBNb/96Nt4BNqAtpk4NzDa4d5GScEGTowrxH1epdT+9HevcQEtHeNjgxtUalDIK3zExMT
3UBvrc4En5imYWFMRuN6skP7Ud42n4DwtsGRoXsu00NM2uyEAK1i1sso3hnGmJ8QwhiniG9Tr6n+
7Md2y3oCtFufPzJkIWeyqR+LTfn3z9KQFMHcIphQ+sSuEMzFY/plMcRheFvb8L7Lqf0Y715iAtC7
RseGtoyr8hCpEBioA5AQRb0BNTlBiOkWN8wR1JM9egPnbfspIG9bHBnCs/iDIwsIpA4yninhlkle
0l0cJuXxeIb0J2RLTOvpKRityO9ybT/au5eYAPiu0ZFhDqHEkNSON08Jbkje/q2pbXqiQ/gMMfLL
Kr2T2sYnjEFkZY6H9jvd2o/4votMwHyf2ZGhPgcJ4CCszDqhOrZME+Pn4Go8zIGVUWbCP3g0l0/3
aD/WI/sJMI8sjgzhRfyYpgeYxyGmIsjEnADt2p7AQaXiDFPdHIXNkz3ZD+y2+QRctw2ODFZQ0tKg
jDfVITg3PbEMBABa+htEDAMRIwYIlSMh8n1e7cd5zzUmgL3H6sgQX1bJdxn/UH//WDYgg80sbBi7
Y9k4wRaGVZu8rNvbvPs9Lu0He+cKE6DesTkyoO8qIGEHSHjqFpAwhAl6ESoGpWJr5h4yJXygYaa+
jfN0j/ajPLKfgPHI4sgQXiXZYxFs4r9/KOsEpGbCTEPHz1M3ILmNsXliAi0zMWhZw2sUXr3Hs/1Y
71xhAto7NkeGNwQSH5zg0TtEPA2AY5OaAPoYaQpzt84w+6VmbY/pd/m0H+rdS0zAetfoyMBepd0h
cLagTogA5aYvFQY7AdWQKOWWBfP3NtBT/dmP8Zb1BHi3Pn9kyK4fi0NEUuaJTp/EqecZed+yPNQF
Yp2AQvm6BGyqP/uR3bKegOzW548NWagxPUQgBYwLhAtiGC8FBTuDlkOkZXLQHcfQTnXoDWy3zKeA
u2VwZOiebaJD0Gl+AtUBGGTFt6JkcsKxiS1GR8rUVH/2Y7tlPQHarc8fHbJl+XiAORkiYgNq+RiH
YOnpNabRBMHAZdxg1mjgnm2mevQWulv2k/Ddsjg2hGX54d9QlRs/HmJ+Nk6QSYjOfs3POxwaigsg
zWVQGObDaxQtnb3PuTcQ33ORKbDvMTsy7IdQ4awKyg+X34MyOwSpNk8IIxaGcfwE7w71GoY5sDIo
DIKV+zX1+r9wbT/6b11owhPwlumRPQXnmx9QWnKAVIl1AoUloFLQl3KDcToMwEcW7Lcx8Aj86R7t
x3xkPwHqkcXRIVwEB1jEdXrCqQG5EfRSazCe3WE/laljWML5KGQ+30x06C18X5tPgve1wRGim8mD
FAw91WvD+GUvNG08giGhzS2DMgIk/em1PYkPME/17G2kt64wEewtmyPD+9bflIfYHgmcHHbPQEZT
f6sSkJxAuhMxWNG3cZ7u0X6UR/YTMB5ZHBnC54/pD/kQHKRuhJ/A9gqoxacv+sV4SBMdigSppetD
ne9rRvYup/bjvHuJCVDvGh0Z2kAzh+FcVP1hOBg1sIGw9TxB71miYcsVsHM+HtPv8mo/3nvubALg
e6yODPHzx+IBNmvbf/sGd6gCRBa3ftfq76ANaReGOUTbxr5we7pf+/Ee2U/AemRxbDhLmMb/fphh
Y5XBEYe09sug3qkQg5XcILAZB4/qDM6nOvQGvlvmU+DdMjgydO8gpoDGFAfAF8qFQNaAwOoFX1iJ
t2oMIK7isNkKQyX/9hr9Dpf2Izy+wASMxyZHhjJsK1KPxeMBYIZyIYtalOrohW/v5MDxiWVawMjH
rSne49N+nHeuMAHoHZsjQ/pikx0iCwYZbg4KJUiQzynQHZQJ5EiH4cxG5bxT/dmP8Jb1BHS3Pn9s
yD7Wm4P0loF6PotQpqOXDOcOtlDHC8lvWIlH7PpiskdvoLttPwXfbYsjQ/g2eCwOksOGKnwL6VCe
+0yY0Q7C6ATeRMC4nx+B0YI83a/9OI/sJ+A8sjgynG8C2AZbBj8OUW6gn3CGTF1/qRLa0aqgiZAO
m2ShlGQkV7zLqf04715iAtS7RkeG9lW8eXg8TK8Z2K4+7IF87iizO6ph3qZDiS95zpqMAJ/u1360
R/YToB5ZHBnOd4/+JjkA94KMNpRhW1CC8MYmOQikYF87hs4UzwLHaPae7td+nEf2E3AeWRwZzrdB
GQWdrA4QMkOvGR0Dhf7V5Q9G7DhktmC/lQmC83bI/B6f9qO8c4UJOO/YHBnSV3EFLUf/fpyh0wzX
LQq7219G9E5qBEFqhEFuTB9te53u0X6UR/YTMB5ZHBnCt5uHAlp2puoQZUMMlEjo9wdVQ8/r7w7K
QwZ0+AfKuofXaN5+n2/78d5zjQmY77E6OtzTD+IREp+HwB32YJhkaCX1Rjk39JEyEEGwlXIUTw+l
WtO9egvxnWtMQnzH6igRL9JN8eMwkjTsgYWuM7CP6qXOexxjQ+BFIEEGjH20dD+B/h7H/gr4netM
Bn/H8ggfgDm07n0Iygf5C4K/ox83hW3RCFHYUfU7zBqTNgMak5tM34P8b4+msIy3gd+9zETcdw2P
EPZTucmrQ9UOgsBlEAD46TUe9DDVEw4bezjfn1iDsf8O597Gf3yRieiPzY4N+6FR5CEyL1B+pBMC
7eZe+PtOhQJoXsAAAPfxCj/Zozew3rafAvO2xbEh/FTfIzbF98M0pDJOYGQPpb9vpF6gdNTiDJIv
0G7u6fVrYXk+ceG5COgd7r2B+t67nAL+XsNjewZkvDlIkeHQMhSyq4O2/fSC+Gy8sCODg2Syw+Mn
e/QG3tv2U4Detjg6hFN5iMwqdA01dG6BsP1W7cJT2wTLgN0do4ENTWqnefQWwlv2kxDesjgyhO8q
6JSZHOTMBdjewSDwgrX4jVGMoB6cYMzIKKf6Hp/2o7xzhQk479gcGdL3kGyrDiJyQx92kLB19Na5
SE99i0ANs9BoH887XNqP8/gCE2AemxwZyl9lfIjMGpyfQqGzCZQZjZdiUE4o7L+FNmTbE/VUR/YD
u2U9AdWtzx8bpNX3zZQkxTtPMxt2cmBoNAWN159eO427oek+tEZgUEA4QnaiP28g+9p6CrKvP///
ALJ/7eLWDQ9nmv3712+7JyH23vPpIM8JpyRYEDLtX3CHmAkD5QLc98VM0Bj998l6zzt39vm0H9XX
tlv3+HyLf/2jHOa0ubdPovt9yJ+zUZvZ0/GArw6j++t3n24fzjYcmb5sddrzg/2uylz9+PMj1HDq
ELWAHvX75MHhQlsbpW6fGO6vx2Lb6hG27v358emkQWh6AHtnGZw2aEAy5OOH5vHlLR02zeo6g63T
EB4xChN2Cge0+E/nF4I8MnTFgCdAhwM1wI1SVi9vQT9RAtcyLKgmRVAx/OtGr2TceTL9/au8/PlD
WiVXMkhV+edH2BPy8UP2/LnB36GWzYB0uwG0AKobGR0IXvawuRma2MCP8H+iNIuzCIXoEqSawp+b
rC9sqJyqHoqwmtVG1AqUuNFSc1Vqh5jfu6r2hVv4uQNHSXxXSXxLk4YLgogDWRYk3Cz4XmloVdb5
WaSFnl2YRSiCvHZcq1bzSMffGtp6i5I05TrJ81Vee7beB5e60laJz8/LqBO4KLlduWFu110vBS3Z
Mg3CWd9oDtWVoxoLDkXU+qvIqlw7DpoboquvPKCabUbpdRdpWMhMu9P8oLDdOixFHgRzz7XWcfgl
DrpvjYcqEZrhTVmESBR5aePEXCcoj2dhny46Kck5yoxLP+gNAedprnszu6jTas1K90fGm3VArG+k
s6Jro81r20vd88ZQvvCI9rUpzFkJZHpTdLITTcScvizuA4J+eDT0RZPpuW3F8aeWaj8qs4Ybifky
ith5F3v+DMM9uCg6D/psU4aynNduFMyaTiW2T3JzkZruym39XBQs+dRl7mVZNd8SS0kRUXLWsnyh
jEgKniSpqBmes9Jb5K55GZFMF2bTL6sGI7vr+X1o8XnVmOdN7S+QYrVdsvA6TZBh12l7xsr+rCkZ
mjVu9iXwTd2uSR6KnEf3edlREUXqi9k368bKC6HK5KdkxTnBunfmR94F9w3fSZU1a8pK2ViRZeny
QpS5d0fiYoUyP7AZVfy0sapsRiz/R+rRW8/tFlXUtLNEJqedJFhUuvbYGtm6t9K5FarP8HfLVJqF
MGrGZpIEpfBDdZWWYXzG2+TOOpM4igWniWPBeHJ83fUdWpU/E5wvQ1osrDr3beDe3hw+eI6rfJbJ
KhEoqmtRa+UtrotFaEZfjQ4vuFd5ImPmugwpt5WUhpOmyXUV+t08L6O5ofrY7t161vk0ExBEMzvq
i/OMx6UIE1fNSKcviCfXkWnMY171IuLFtRE1p6GvQtsvuouCw29vuGvVm0poLKDdQ+XJ4rOfKt3x
PZ4wYcmU3pAMSL0nWJFo1yjj+U3ZeUm8wG0wVzqaR5pviYq4PyOvfXRNjmxfxnaKcnpK0/a+tIrv
KqpykUl5TT2+0PzoGmfxirHEtCFr52QttUOd1k4Qo2LOTHWB9diAm8tmOaWa0NtwKVVrzHzXaASP
aW+HdZnYWZA4SrZz3eo2rUWcvG2/MZfNEO8+AdC+YKG26gLtLM39hR9pq5RLYUXY9sLY4Zq7DJNu
HrHUEy3LRGf0p3qmPuO8cHyz8xyStPM6YZ7Qg/CMBnlkq4gI3tJFwy2RZAkAcq+KcNG11bxijV0n
1SrQXE9EKXW6pHT8gH9JwjASZeGf1RnHTp8HfN4mViX6KF3yHF3oij+UjQGDoLO7lmazyOCOnnXn
RhWumkLPREJQsSZNA9iawtWqZVUWD1VRX4Ytc8rQuEOBlwjeFWd9RC1hmOnMiGAUIuaLvMV8jiN0
a1buY26V8HTWyUpxj9klrZfYo62t5ebS0JMrF/X12s8CEQYmEyyobd+ozhuarlstTUUSxbbhsa+x
XgllsWWVGqLo0ILT6iqw6s+IZCvXaOdWjegsCmOY/9pUE5klb/SKKzvoi0sDeaLzwmUME2AW1Beu
1d/lUoqcqGuXVKdFXgsrN2vR8s7pezK3rGKma3glZVk7pUx7mIX1OTfVGqX9nKVGbfNOE3mGvsdu
SYQi1Tc9YLHdEFNfYepd4bQTmedd456dcdbVdt9rwdzqm1NkRTaVjW9HmRfOEi3gK90zqwX32ys9
1uZR3F1Bm92fOunnaZI5paVmZcG0eRDkqd1o6rJT2ZWi7FMbVL6dmGZlt4nJZ21I4i+R7naOl9U/
w7Ja+y26j6t0FSp55vOyFlUR3FQ9cUhQ/DS9blZVOLvw23aeh/2nCJNemHV0DzPwrEzN60JzpfAQ
/6pZxec2b9dN4meirBJq6xmzFfbXJPJsvzUvvcZbG0rBNG50KzfnYSqwm3fG0irL6L6OtSZysJbi
udarxmYtm8UoWBEzCkXWJL3TSv+HUeuV09WydcoCb3jfX+Ii0WdAFzzHI3jeFn0oXD3/SVUd2VxF
5yqgMF12ber4MvgsQ3IlE3JjRGkjammI1i8foKbOUYifUq27LK121ROYvwqKK5Ga6ae20+6zVt7F
AYlEk+pOFgdYsK65rCOrt42e3fZppjtxFVbXhQqDmRnTcGmkyBWWWyetnWC99tev+NQefjL0G3hF
T0wE1UHQkxURy4SqAQRb5bbpSZnDSRcd1/klvk3EF3NeX+V2LxKbb+5uynN5GsykrZbBmbloHH8p
5/6p6S3Dc3/x5McL8Xxx5Jk4PcisKwLPfzkA+/cf/3UnE/j36djk//zlcH72f/60eJSDqFGOPzR8
z+9Pwde8fO9AKLf+sMNwf1G7EYd9PqH7jTffR3DhB/8rgjvIBnsI7iDZ/SK4EHxyHbIKw5Geps6B
YP4muASKeCzoMgGBKTS4H976D8EdPmoi6BgGySg8HCj2iuAOvQARHNANHR91w3gPwYXunjtPEAXu
DeX8QJphCw8anrBXBNdgSVgYFekumfKKKxp2yU2AM/pFxgY57Zoo+tphRedM1ei8AUYl6r72HWzW
/T3ljbr1kYwXfY+DtcWlO6OaKmZpkPszBmtHHANjrXXsnpkmLO56q8C+hmOqnapXsA7KrF1qjJ+2
pM9FqXy1xJkePQQuShdh2rgO6vpGFFnZfkt83zuVud8LQ1OhQ1LUiZKxzO6K7p6T3PZjfdO5CT2t
LMzmSmrNOo0knxWyae1WcdduY3QZ6ZUUVRDBtGDlkfADcwm7DpWQXFeFQGGvCKzK4WPW4ca4Vmni
5H3v/aRh9tVvPXcGhMYOouw0lD232zCNVqTnja0MSq487H1BUXcaVHoxN7L02pQ5mgVIaQtlef1p
71X6qe/D6hPr8RprebkKFCymyPeNRRSnxqwmxF1auGYiML3oNE+yRriyvu4LmCazGFbHSjN7oZnm
LIyYFMTjF6FuRqLu4NfRKs2/CYBBO0mA8WVZEuZ0tMlWuV+eViT8lme0FUmsUgGnhIcz7GWnvpf3
CoIAAExrcOHEWoTmroWXoaGJTis8uzXrRaIiV3R9lW1q6YXnrTIetUgiJ0eeFImJmNOksR2F3q2l
0+uEerqI2nZB6viehI3iZwZXgShIfFnn+EoSdo+8ktqxHqwyDS1aokxBc3PmZvA9lhVlIq4N77ws
zcymabIudfxomrKal1ZzW/uwFpQEZvYIwRKfJOgSWNsyTeSi1s2zsOXnWYMWPq7IrI89bFuuddW5
4bz3gsukD5SwVDLnRuKJ3uzOzS5zskj7BN2tY6dvjbXlArHtK/dbQorveoNzh/vsoaVyIc3uE1B8
X7RuZkAIVSZCpaRLLvLIlKUNB45VD8YQIeKnYNGV7Rlv0gxGRRJEZxhigQoWoVieZtzVHYqL9syz
SLD638n4KdugQ/D9F5Px78rH3Ql5sPw9IUNPADgWDLIOBLJL2xMy1FwYUFcJsyE0uEYcFLtfEzK0
cIN2PxCmg5oLJ7XCOvtrPraGYwM5/JWFISWCTes98zHsoxrPxxwUY2gtBPkNHRNzaD7zej4uq84E
ZsW0C2omoR3LVR24jUhjKxUpVnIe0W6plYZuh35yjRiEXnVQZKLJo88QBksnDtWqL3DiZGEV2siy
YJZoOtfJc9Y4QVl+b5L2Xobttwzl512lr3rInJ5lSVzMDAmzTaZ/8nixSHASOp6Kb1oCaQYz1x8s
HNg1tUrb1dE1RxoE78w1RREWn1FLf7aG1c7DJrtNSPiJ4gTP+ggm9Uqj/Szh+RejyioHVhYnibRm
HnpZ5uRSm6d5VAmsFYsm0mJhuHo90MZTv6dN4JiuhJHYmKHmuK3xLYtrrbsOm5rV87jFTaILWSp5
V+UhylqBseE5PCNCyobPMwx5lbrskhlBFbXzTp/VJtA9SLpcVWGnBIcZK5HAxCsU/lCUPrqQChJu
wEyhq4u4/kRKSYXbNdxueBUIrZO3tMWRwAn5FsalBjFAQWZdiyE3IGuYNsryNEfp95z4YeGksS/R
zOxq7AkrMch1HnmRSH1qOk0X3SG/nkW0gjWsjZDTIuNLasj7JKDyMutbeYbSoLM1ymcp5Ze6l63S
WF6UuFwkkIWKOT1tTfcL5QhnItK7lbTCOcQ7aIWrKBE+3PdMVy2xXUvGAsW9boM/n5mngtM6oN4s
g59PMOwCDW/05NJl6C5mcT1PMhoIbtG1kQQqEqrJg/uo1Eg8K2LLsma4Yec96a5R2UcCWWXuhLFk
syJDt17dXbt5kYq+0C9zj8+1lizz0ro2Q7py434R1dXSR33p1Mq7Uyy5bHm9IC3pRIRq20gA+SaD
hIVZrYwk/GxSeUelv2gadp9ovSd4US7byrvL0v6saILbIqm+BAovccsKEcZ+ZkNkVog+0Bdt3Zhz
BBnkeUu7MyuVaA2Qh6KqwsewNURdgG9a55kzXW/MpUVc0fZ0offmN1IkM3dg7aqKz3vPvUnMPFt1
pvLOdM24Darme6qVs6S8KyqMbZ7za88PnQxipjTrTwsL3yMeNk4ow0UZFMugC4Fd6Po5bAn6llRe
sNCoNc8UJIn0PHP8zAtsrEEIkXfNhrtYzlDSOL3VXzSovvQR+0xIs5al5kjcOnAgx3c9Q5aD3PC2
9/zLBhuf86I58018H+cIzxCB9EsahcBStAsX8UWYpBdVoJjwefq9do1kpjfuGfe6Ruh1vI5j+Bjm
60ZVSjRFsmJedVardA2f7Gdtq+unVEL6JWJNTOYY+oDYVq+lyY0P9apEaJb3NQzILDXDShQm+tlr
5TIK6q8lb+YNh+wPAxd09k2x9DypDM2WnXJ0XNlK6cvCy750lPqCJJ0nGsM6Y6S6YTiPHdw2EH4V
+pegKlZNWdixVrtCMuNaD70VEONrkvIAUnX1uVlDjNya6cJNC7biRbb0I7oIWPQ5JNGZh8pPNM2Q
iEN0o3zDIVl87qf5OkLV5ygxbosAsEiy+sFIYKih4jyoyWUbQ67E6yD6C4N6GZN8nXNyAw/Jqaxi
GGGFuixdNK+pD7FyVX9JSO70vhHP6xJBPNWsNY7Xmo4ykTfayoD4FhXGXBX5KumbZVObDu+js5ar
hYr7awhTlaBJfq7rxbrN4JFlSS6SMv4ETPhb1ASXRm6uVGE8lgZwNmmtsO7f12Vwa7LyDopLY2Fa
7rw2/RWt2fcIZSucQEatT+TKJcVZp9LTtCcwwnBz7stoHfTptzbWb3kMVA0YjMBAVe3QQgujDuZp
ll2aiVwHlP38X27yxE2GyPxtbjL0lNhlJYPNb1YCJ87Cbo6nY+JhO89wEPyrMBF6nwAjRxj24j5J
JL9YCTthlgExItVhpoftYGD1i5bAIR3QbQHegb6z0JUBzk/7FQ9vhfMgAL38+bUOAs2zxrSEwpCC
5h1DjSKBRgCjRANoAIlh1qS/zAbWi4mC3NrAhDOgxDjMFy5QZGPgym5WfUdAngOr9QQCOl2abuzk
QLB5nTtoINx95gkTKDhxYyUQkHIriOedy67QwNaDgbfnQOAjIPINEHoJxJ4Bwa9CchkOjJ9ZfWQX
XhpCmq+5tYa4QEGAoFnpGnp+ZXY0xA50iCK0IZ5gEFh0Q4SRQ6iRQMiBzIbaGQQhNNOvSghKzCE6
qYq05mcwJd5HVrdw20gXncmvYwhqvCay0yHK6cwQ8lwxRD4dhEDNEAv1Q1SUPsVHECj1Q8SkV56t
QQiVDLGU10JU5caNP1McQkGbQNBVIS+akaxJIStNuRP5uR3E5pzn8XevChzVgetZXS6qvAgiWxrh
Aiaedk6RP5dNtCzSdNZ6itt56TuFEeMV6eRaR3FwijXz1E07brMCZbYb0bMmktLmjXWb48Cad6xQ
tpbWcBe8MC5ZbK3SpkICollLmKUJSW/KL6xIt/U0VXap3G+lx+5CjZmQOdaXRuc+IgNBstVobcat
xCnNsBFEpq3QDGMpfRfUpChBdzDvl4K25ipJ09YxvOwG43jZQq2k7ZtDirsvc1sGpbuymhoJjIYE
X8jnQVpWs94PulnuxoaAMPihwGlqQ+BY20rryQ3PMYPILZr5JoPVFGHf0RSGubhBPBJxR5LzyHLT
lQWx8tJjqIFUKItWIFU4LTU8uzYMXUAqJFwoacb5sig96d6yhmmnGKQWT5PZjLkRP+0HHQaDIFOA
MFMiC/IDINUYWqbsBMSb0q/MWc1Sh9WpXKcg8JSD0NOmoL+A9IPa+ks2aEFWH9xXgzoU6Bx0IhCM
6kE5oiAhVSAlQfxq2AWIS5ARqW0pvYUC2SntGQwJ7V4NepQBwlQ4KFSWZ1xSkKwqkK7MAHIC5ZOa
FZWLEOSteNC5EFffehC+ahR94oMSloAk5g3aWD2oZCHOg1kxKGeBn244SGm+p0FmBLQ1iInOUxDb
1KC6NSC/BW7wSWpdbnua54sQJDo9yO4hOHE0L+5AYgMVrwY5T8Pa13rQ9xrFzvVB8cOD9mdFxjeV
1esS0x+0L9cdiIQ9iIXeoBqW0rxsBx0xLZJFPCiLGbXWelvAmg+ao0b8m3pQIWEb9TdC7yJtZnRs
nYFOyQfB0h2kyxQ0zKCGxK6K4mtQhzSbyOJrpqmbcBA+U1BAfQghbAs0UeA8kBUJZ5pmLfuykUIN
8ikahNQCFNUhTwWHRcPqGV0GiW9XBqA+SLD1IMZGSf+ND/KsSgoblAWgmaGIB/VWgYxbNf2Kg6xL
TCAZLsYOGxTfLAhvVWx+54MWXLWlL9Kc3nsa6MR4UIwL6bdC99UsyWEuFLyP20X5lEz4/3HFfb14
QqoQkphvL7avKzieqz8GKf/Z6tdyi2Gr3XAYA9QHEBMOB4YL/l5uoWB/aGMEB5MyqEAx/pOVNWCN
xnB+JeQnoeyE4OH8q1/LLRlqFRh0gIbQ/TmX+47lFsN3ZP+pOoC0PodGDHCeiwV145DmHY6qfp0E
UL0us7yq2ou00fmsblxQU6QeUkh50aa+tjSzOw3bOo1mCEXqq5JG/SkyyhaSqDzNP7/69fYs/sMJ
QWNvYNMhZEWgWaYxnGKw7Y2RdlnE/aq+IHmKL7yoT11RUWkB6a6V5KJujOorrTMNUnwJU7mdh0Xk
CbcvqQGLBE1/cCh9uIRr+JVD4hh/6k2N4UVnme4j7jTczv/aYwKJmh2PIeEOp6pwUEegaffI44D6
gG2nLvTW9DzHavv4Uw1sSZ8r2kkT0qUtDp2AurCQUKsLRBchfZHURYedopbqh9+WJVARLTOdUgWy
FirxUS1oYUbezJOhfxVV/DQpuV86kKvn96UPAUXcmO0sKDXrPCj8Oln89V3twgCdWBAcukgteDaA
jG3fFO00r9EgCXyRKpffS49hIoyIwKORpVV71bQFv81cHH/5668dnrXXzyL0SKV4YJhQhjP8Z3Dr
lUBgotYzstJLL1LW4wsc+dVFCuFYwFz//q+/CYbPzjdx2NVM4bAbKOZ7qsV59U1ZanR9XvjygmXI
2OSNLOKFq1hHRJTB8pRXcW/rqGMSxHizSf7bQzM8FNs3Cg8KHHxn6FB6BrPD6DEH/hv4XpoEFxTS
uZskrMxNFA8+mH1SzqwCZOAOAfSLJs4bAixH0kcV83LV8M44ay29QLbehDKy/4e9M9vNG9e29ROp
IIlqqJsDHDV/5z52nDg3RJzEJNWLpERKT3+GUs1Kpc6qhQL2zQbWZcFl52+kyTnH+MZUDc36PVFj
CEqBruu30VvG0vc22KFxNkTqFJNkm/O///T2x5n//PrhBgIiSRAX3BnXP39RfjLHfRwzD9wG6z5L
ZTSHstYYdMxkXXt+sUI2r5xm47XbJnFIhsjJIgyW9M2k2zYU8BDSIhrq5ZtUJP26xKNIL3//IqP4
L18yiQguon2OwP7tOP0JqEoUlb4ShtzU0TSyjJYmE9vRGUeyg1nmuVBu8h+Wbo3nXAiRFuj+QEOp
8dhGY1g07dS9G9u4c3naWv7B1hhxV20MJpFpfJ9odCds6lkxD3Utc2kI2lNW6/7Wjp6+m7yNVJwH
WZ17G+u7IlxEd4oTCJ1hze/52hOXt3M63Ro2PZmw80iZLCE+SLmGqA3RvG25b2l93aL7fGH+HF1E
QoPrjbsFQqEvog7E0irPHlUYq+1KtzKwsVdutfsy6sk8zr4HwcN2MNWYnqB1sTB8mkRgmyNLvUDm
m2jYKx4FppZc9pP3CS461NxRh+dm6DHYT1n7VS5jgvuedM2jzJhL82WK+EUxNRcrPodjEIXZ3QSp
t4qsmg5BAJWyauM0QPtrOQU4FgoGEYuoch6zO8E87pdBMJgTjprQAo6pk5yatP3oOh/mvcrGx5iY
+DhntRfChum2zzQZVKV9V28H9IQcep/zP4e6tW8a6m5cbKFBA9fzcOEHZ+oBN4e11cqXmR7UAPKo
NaQ7QWuIoThGasAH3S1pXuu69oqU2TSH8OTg95mWFcDf+u6okqbi0bz6D5YEEeRs5bd5jSvJHIix
mT46krrrpNm2lj3MdjJdl6+yXXv1VTARhtuLtp5LOwExEaV8+ALpozZE5bOZ59G/NY3pGnfJ5LQd
l2w27NwpKUf0vu3w6KceOdcrIXMx4zuAITb5mcPX1VFa9ozhPDRtY6cqaQDQFao1AbsTk5+kw6mB
DyfK1bWZuU60IbiiLBsCbYsZZ+Eh8USNlh23TsKLiY5gegLS6O7Qt1JleTvh8GKVW2RSeAzUbJyv
EIaiYtCsA/mWzZYdbJu2XaUZuoJD3PNuK+gWo2L2YRPNRScU9HXowlzfa+l1XTVwSd+8eUmlX/pD
aI4yojO9jcEHsUtPUpPGddE7PW3rCcMPUaIauUihjuplmw5QY3t5WNukW08+Bp+xiMO1lQVGvrU9
KjlJDxZrFH7wxm4LSkKSBtQZJkPvDkKcp/GR9/2Huuuy7kxUZtqqESZ5t82GkEPtAWW7ElbotM9T
EQpzZGoZ+0ccxuRS8y1sDvOIV1ANpuVbRQMHO5bW62hvOrri0vZwq2DuDgIwOyBI25Izwucy7Rd8
nTLV6E/6rSbbt7ZBvKukeAFdSdZOTOfAl9GJy7RJirBpJlLKQbIShmAT555VY3ZfM1tHBZFgYSAc
1pt35WNWPQQj4/AxRQZIKljFNpyFDCyvmiwSFsPt5uVBJrMelw8H5eis9LbcOOl9UnjSKyghifso
vA22Xm4yp0vkkae1teF8m4zZOpR9NpmbeO5xJME9bfALWQeA9sCkCPqXLWh7cZnWrnUHbeNNXgWG
m6eoDuPPsWMdhJAAFy9sApeSSmMqxYufg7orWzI1uqCWVTKQ00trLTqLmtfLo44T+zoqQU5LauF+
0wbIQt5Thr8Tt3CRDr1agtvNjSR60CYOngLj4f+wiad37GdNHTztrpYnCO6hPfcp1+GdhK/xDPxu
vzjretLHtNVC37s1MrTwJ4vvRtgeL2zQKLpXOMGyZ3ASuLo7VElVQuRxw9nojIX3tZqb5l1I+yw6
u6i2841xZm8+xeru48ZLXDXYDv/0MGwbsK2wM9vRb9L9ze8v3aI+4XWNXXALLg3vYp5ifFSiGZqt
yKAkzcXY8kY+9CrFLa9mdAUcP0NNDU0v7ibwN/A8yAgO4iyscvNN54lR59KfJ3dwWHlMqnWZwr1o
4GYq8I5QQFwW7H0y+IJnFpLsQhcpgbRBGcF1sfLkMxAjvAyn6vUdjBxfX3G0ufXVMELaf6Q4LTAs
+sHtlPHpBY5mMuVgSmV4GaCUzVdMDHwpV5VOFg0uOMsxxMda+Om0fmnaJr53s/aH0+SvC2zDpOP6
1DGvewP4utcQObWixBxASSXDVejDmHTZB89n3aGzI5/yNEKZW5UFbjAYfZV1TR2XcahC8MwtNM58
EWH2rGpv4VUb9rhNNo+R7Bz1QzB961CQ1wsNcElVdq/YVR17+EQd0BLYVrGdrgI1h0nBstYsOGkJ
BKJUTfUnlS3ZkwfiI7hsmVHBV6P7VeddEKTLWdoQf8p1gQCPZXnCzyO+Flt4TZYctmFZzI1b0/ax
XvSU01Sfos4t8WmzCb6cxg/0dhxbqGU3feKia8/40VCJqe+WK3gloyhorDvxhE5Ef/WzHmUEpROu
TyO01XkGV3LCKbBOjy2H1PYxGDZCl3xDB7a+Hw3xMvwxzVQlUq8Bq8FG+yq47y1Fm+qkOUsovA9O
e2w7qnnSspLbjItUhqYm965pt/i2S8a2BUq4+MlNFAgocCu6G11ZMeJbs7SXPFcbWIOcat1WgYOc
Ui5tSNVxoxOu/iZyHOAnW324uKNOpg82XoOnWihcazjpsmdc652+77M+QIENx6w+0E4kNnfzS0hn
SwOQzUv6Pg77yZY25ia6iVhLl3cT05nC4Y4ruholwbeJwWF115KYZrhO1SjIfeh86I3MDRnel3Me
v2mUN9qyg5MS5ujGZnPTtgyvH9IyP2hBG1Fa5/vndYpw369JAncyYiK9+d6V/k/jazfyixr08GZ+
5td+xNf+z/8+yI2gR//3csq+UeqHZyP+qMT8GgLZf/0PXSX7BVwFYEQ8z5RmFHDav3SV4Jd9jxmC
8JlPSLivGv3dxoh/STP8DuIaKOMQY/Bbv+sq0S8QCPBr8D4yiqH3H9kYf5EFwNjRGLERrFoJ4E7+
NOEpZDg0SVJ+x1sOguhKRuI/DGFYmPmnKYxiTQtyIvhDUImgFX3XiH4cl7tg8LOxXR10kvTcixk0
dRjW6pB27gY3ZGLRg6z6uK1LXSXeCCExMDR+DM0oh5KaLLlJVYqhsudsupmVh169m0ky3SSJ56Od
ByDCS38MgFVo61cDUKfx1Ag0dMqLgFI5tK5q4GFlEXQ8KhFNlR5sfSQJ1Ml+Se4xnPLjiEasnAeu
jhJablhxNdTese/sNjz2ahNvaIuXAwkk2+qCat+rsnaNwrrIWvxXFYwRAA/MOj55NP0It3mc3PRg
HF4FeufD5gXolZz4SEa0cU5AOW+9CYB/cybLdARGcm2B6eWp8W5nsTzHDXmaMv2omu2a98tzEiOf
QZMJsQ0ZXU8qQtc/XQtRnwPOmzNOB1lyl1zZoM2pjxjAwoejL52f+wwD1LBeYEW/jHW9Fm2bJrk/
THdKJvUp68X17PxXkTQrUHKCeZdFW07b4Jtoh7Zcs6xaAVPkMGvCnIM6PxjnkCshbLua1vFqYd7R
dc3JeJIfuzZWJYodzAwkAay86WxMKkaiKediBBWpzkzJdyKeWuCMcV9yrzmrbWA518G5105VSnSP
gzJXgjgLxMRPvuBI1oAauS1wrB8cKnLuAllFkeHIQPRlt7CzGyckanqZBzUU/gZtU0zpUue8jh/j
aB2QSIjmk+77OO9ZFpYdi0zhr+ZmShavgPVzXhq3HofW/xYl81eke+gRgEd3RbIOY4JoYvkw9rSD
Cx/JuAjAlARp4F2ypg6OMC++IFJx3hLv1gTpeyO8YysY5sVVVayhxUwwD3f0Yen7Q1aHZa1YpQOv
6BKYV6AIjtQahCEIPvi4TzFcLB+CDdbFGPMSIvynLVluBt+QXCp3iVv/fsMfXQLwAwgMbFFwnEcP
gyYcP8+dh2i7Jsw7ZemzY58Gul3SDt5JXPNKpfH7aQuAw7jXZW4wcVADsKW5xqRyz1kdFCRskhxW
z0vLwxfMAVmpbHCdRT0vbHQ3idPaRaIQ24xwEI60VHhP1On3UbPAgGtcGQt+Hy1Ajny5rnm3yCsz
NGdIkm2+LcHz6IkniiCSNw751ttDysc39CiXKfMuGJa3XNfJZaqzY5u0896SlGQIoAjMkXkX2fqC
93cV1/4nMnt1vpIWaM4A/CckY30LA645Oa8LXwZL04+aDnBE3Lqy951hzTvHUp071wZVBFUg96QR
5eQ1DXgdAxDfrDMyDZ5fWtwW18sYy9s52sB0tWphupjHZL/DgJ4j+pCZBTAvo69bQjmSJ8mzp8Ok
WnRyC7GAVawdoY9GmcbFTHYUdW6vVurxgofxO+P7CqCLnUq+jDQPgvpqGdbHbmxsXtsBTRS0xQMm
pI9J8ljjmy+n2dvK1On+Qkmb3LARpJTbkPpokuE14nWNAMYqcMtBboniJ5+PiK/Ua3PkK7+uu2CD
mMseGjO8zi4ralaXtA4n5FL8R5bgWybjJz031TbUp6U2b6myd2281ci/iSYntn0J6/kgkvTTPpHN
FJmNKJi6HCPfiCRXT/MaSJFmcbmusqjbtKqn8CsiZu44TnFZ98vLQtgxjswIFGn+pE10GBW+5sbC
8E4/BL1+xgz3IQ4GuD6ufnTtet1n9mQmkGKerT9wsaKXxS3q3M3CuiPvWI/6mbwzZruLdfLiRHw7
YACl0fLB7rSpBeifbssBKgGKha+AIwMcS5pPSPOgNa2TY1THce7aSeaGyjPXTlSC9BBS4+Qx2PCt
6RZkG+/Tp2mRF0MSeL/Sf8FJcDWxocH1099LuZnTUPMP8ToBXvIhYyJ0gXJTerO7IT3efSfSazqn
J8j/l8DEL9mIXCOUxZE2dySmJ+A2uYZmgchQ89mjXhlbeYKsa/NpZp9901zwWZdyc30Oaf8CpedB
jz5eZqQvEA1OKk4+McAtywpW0CyPLEpLoJTbQTskpzop7v3IvTHfQiAB4eJHNeiWTd5kcYuY3/TU
9WYrm344LXyZTjTr1usgIGUdhtcIvHxK2HDlK1LnYTgYRGr8IB+iyN6DCkVWS3FSNVR97H0Bscun
d34GH9H207RbnPAChesOcZJ8ka0HbNzn3kc7JrheMJlXqw90nkSy/eqQRSlDgrYaIGB4A42Dvf3Q
n93/Kln/SGv8WQjeW5AMcTo8kIPESNXBKvizEBw0cYB8I/Nu6/p90jw32WsU/wcv4j/9Ez95ESuu
4qSZ8U/405on6d083rn6/u/fRvKXTmp/G1hajt6QANj96W2E4bzCSJX8zrc45dO7zVw79+R55d//
M7ss/i/Z/9dPCyMp9u8B9I9S/yd/A2bOStJm4XczeLcJEVQNcc6b3s/RvV2CPNEKHMivMvj/9MDx
v2+U2Ldq/PtRosAjpL7vbcFjW/86R+y/+/scgaWHILQDPHwzwA0Y7l7MH/5s+EuEdQ/wIjPMeziT
/zVHgHnySQjPL0SQ5Tvz9MccgQ2baP1j3BX7xZQiZ/4P/FnYQn+6aPbc1e5PZfibeMogZMyfJoms
S7esX+Llrl0klPRCTYN/AZMcAbOD8QCSDvHjmocgYLxr2sMIqmMArrZOStF7wF1M/QSE56qh7nHx
3fXKAuAvIslyDNlQS+QGEdo82269TTtyjmWSkxYZu4nqu9G5SzLOCbJ801lurQUoqCEnc9DLaeaO
ipA3AtS3sHrCwSGbFUFUElaqQQu+0egw1zUtoj3imGnxsiYM13wbrVVm1q701fiEnnDOo9kLkRcH
zjRuiERbk0ccaIfq2YcWQVETJmuhtC5jaV8TdFc1m7oyDtIvU52CFE/kx2RyGsUhOROHpnCSaQ5Z
9yMYliNNx20njw+CKsRndXcKEyCRy0BP2nVduUaLghrqXteBvXbG3fkD+twYVrf0AX12UXNsGnem
8OsOAEUVTFtvyCkfv3I/AuYT9B/HIa7BVyykZLP5lrBwu0V0/rMcY3Y1xxK+UhyC4+RJ5fU0eBfq
VJURXIlC7vrVgAMF5HFzFcTT8kKzRZF8Rp9+gDtWbFGKfpylw6FdiV+0MCkqilwPmCqk8eew1zer
T13ZwFA+oC8bwX95a2FwNedKN0jaSDgnqy9Z1ftaXkkfESq6h6nCPVZl94DV4ENtbHTr36xJlx62
PYg1qCXEQZ8mAIi67p1WwXQv9vwI3ZMk054pwcE4XKAGImgCHKu+Zt/jJx6CKLPa2hBAqM9eHZUe
EjuxN5370H9ASAqznLDje3/FB39kQAA+eXXG3yLazoD3Qwi6aBhx+NFiBeiKdmuckQMD8aMVZGYd
3pgVyczAYgji17qfXuAIZMjtzrdK9PbEmNnptcUhsT5khzQGNBu58TYyoTlMHcDTVJlqAoUMFwXp
ZIQs855su/WW9eUWNQHgZyrLtFv9wzATgVC8fExJD6NLJs3NgOzGVTPz5RmRcHoG8w7vEHLlEfPS
VmhPvbkQIwKk+tLRVf63mP8q7OzYyb8v5r8/ueGvhXz/vR8KeQSRBIGnnVTFmo8fCjlBTc6g9yA9
gz3nu4z0myC0gzYATkDn/IvB+U0QwpNMdvQmg4iDAyBAGf4nhTz4bjf/6/RHIcdqD5RyZGfh+uOl
7IX+B+YgYDOGAZUM90756aFfkN+Pxgi6bWRPIsVttKwrLlvf+nd4E/4VXIigzxO4Q+eW+sNH2TF9
Ay3I5ZqQ6bGek+gUQ12/tQ0bv44G/XuKM+JatClQQB5gZhgzzxJo1p6716ozdxMMzBfPT8whYGFM
CwaGowRj0982fMy+UoT6YBwiOR1gAg+5sFBzcbwAjIhf2iVVjzaMYXtokZ6buR+mPJ295hDE6/BM
Zt/kgujw2xDP7cfYb/sTj3VWIpSmPy+giiskDGSVqswe09qqK6gx44Ot+6pFZuDAJR/LBRkDJBE8
ZNm/DJqL6Cro2bY6ZCyb+YjJffa+RTyrxS34d6xRgBTcq7tUjLDueODEo6gzL6d2huy+GYJkzy3N
vAGqDI+Eiw6g5SlsvnYZsb8kDnmLKKnXYxaVc7u+1lisgQwPEj3ZxNxLYveYp5fGA/QlrL3gIokv
65ysj8YO22dYfUhD9qH0rwDtilzyIDuyceGvuJJkgUz+9plpsX1LpPuovOnQc3nx0kGXXZAshY0R
HoAkzRHtDub12GCOveKBWa+bwY1lbDIsfHHdAI1EWi4PujPYfzAtHbz4ZvqAc6E943B8TxpoB6OH
3lj4dsljULenpNYJnJsR2w08k71H/Cq5dViwUHbhkPl5aOLhiWkf8emlzV691HoX0po0H113V9PA
K5VZ3HHxPO0qECiTKR2T41vqDfqMXG7/Dn6NPsf+lnziW5CWW5bW7x1rsBqijuob7U31S4BDq7Bw
hK51sw0v2+y8K1y8OOPT3t7VXLGPdOvs+75WbTUPTj560o33YmlBWyID15Z9FC0aM1wUVEudAV/U
LtYlVyuQat7HySlcwm9gJfOoRXDEWfKwAvkACT4kwbdxGLfDJH3MpHAfkC5C1up7CfpvY00wYf1N
Lf7TAwD+WpH33/69In9HH/cUI9bO/ppX/KO1xvMFqI+gQQQEC4PQnyV6PIIEaxFjtBe/9s9/tNbk
FwrGDhHyOEGoEg9q/UcV+bsI/2NFBnqFeEGS4ukXMJOJ/3Nr7WIPi0iIuPVghpfx0pmKbis5J8s6
fUIfBqrGTEapPEEZwEXXbPGuzky6Rsfd1FUGEcm/7VWIfTTTyKEJJ2g9Hpylw/p5Bu+pBLTjaZtD
CCILsOp8ImA6XQkmi0FMTYNpO+N4Ulwfzei14pEagxB6DGI47z0k6PONb/VTNyAjCFG2Dou28ddH
EVA4V2Fdi8M4ttCXTKtPq4BP2MZz+twHizfnCIMtz2OXUbC/8bitRdRDHSg8dOpFQ0Z6T5plfCEd
7lUvHrH2BD4xWJClZXepH3Cat7SWN0DnKZAOtnW8oDJhRTaEMAz8ruhIPd8AMOpu06Rf3nXYHVTB
IQ+jQgJ9OM0ei4u5neinsO8cDG6TDRvScHMCnIrKGGtugjZ95wV02IrNdPLUqnT70oXAoASPVt0X
qw/6OTzMWVxD0YjI3AxnuhBzjBW+EF1K5y0vRqogqJoF23+iOphFX6FWsC2pkEHaFqyysWTbshO2
vOB/W0fFj6lvtgetlvoTyXr9kKU6PdQtMMG81ZF4gu18mxE92vvBw6d533t88SsOE7srOBvm6SxC
YG93VIb1S9Pq8Mllc4scNyaTGhqNL9uTT3qUU4+OrD5PSIe6S5fKyH5LLOXfMpKlR7An7NBKgTNU
ZiG6W09D1fVUWjZU6o+CBKMCQuZliMCZ/1auvYvcxai/q1z/t8VCkK9/UQN+/bXfS9b+tBvA0DAI
E9St7+nrH9QAkhI8lPS7pYiS8UcTSbC118eDkUBC4sF2AL3xo99dxfQXJK0Qm0qSCMvd9rTVP1AD
ABP8VQ3Y5TYQC+hxUSZ/KlnU8SmbqZjvamnGC22z6Eb17or2LaLTs3pOMNJOtWmwnCttt29i0JP3
MMMxWKcNm74C1z5ke7tkmvXB8Ogy6G44TK2GvwOfME+bwDtKbERAayoOvFnEGWibX/CRQU61aMkK
ZKv6Q5eO7fy48vElE/CAPNRYOGxOwp0LdXRZnLdd4rF30CvWfQya26Zc98HIYELiGUYluQ9NazBg
fAqa7IwbCNVqH67Cfcyivw5cj+P3CYzuw9i4j2WLgpGQ7qPasA9t7T6+hQmkaIWJrvk+2iHXFe/D
Xoypj+7j37IPgku7ITa0D4d6HxOV1bfBPjgaTJAKk+SKiVL4axliwvQjfmX3kdPsw6cEaJHXmEfR
Vc5Vv4+onHkGjazhb8wOyad1qxd2mOJJoHv3AMMJHZwyNb8TDXmkyJHN5zERnnmQQT+dwEwWWMKV
INqBIveYGNT/XMwsXXKSsuhIAgt7LWbxW8Nme96f7Xece9gpW9ffr7W+TZDLRMT6dvLDK2q8w6Dt
xeuSctgAMuwyTL0VsRy/2j58J0328t+2B8UjBi3wd8Xj1wfL/X/aHfzWH7XD/wXBJYLOBCt4MtSQ
HwbQ/eFpKQJt6Hl2IAG37e8DqA+NcVf3onSXIfcp84/agQchY9s7ROk/VkH8g9pB0p+p8116DkOs
twTeEOExEPvPfxhAI0hYMJfX4C5uLSqEXBag5XRqbmqGdWabfqBi+8A0y8PJtEfLwWFJAeRJsDxG
ViyD+5bLxr1XBow8GdRDsgxHrD++mhkvks5BfNOAF09YovAycH5hHKIbvwug79wgfkeLJF4z7CLB
ndhguwq6qu1rG4GPXmdMUhGjLykIn4oSzxwia162oTvZkPCSxMu9tIZUU+9J/Ny/2ha35iGi7vtU
j4RI+9x72HDQKf+bHPWb3UIMs6Msh7kRhQrdY0edLRoXvdjV+6C2KEEKHxsFcBIUy5bd9sm6XnlR
g8kGVdD13YbFK3WJPhT/I9NvMZuxjXHTXwDylUE4wGkOpcwZi+B4C4VpcyBf/OZjvN4L8I659iHu
WYVJLBMlS40qLbFrBJHTdx1WMxDkxEay2rPSWHr3OZAR+hfpVHcS/YIa6/rmBKN3qtoarZyBglX5
TNkczaKrsGynPUBAA+EQLgpLZyT47ZVb8yDWKcAba9XDggwPzOsFqwZTBOhCjVV8WkV+Lqaa512P
7X3dlHwcNgXFDase4d1GFOssdFOZWcDAywbgtxmLj0lq1wcclFGOLR9+WVvswhuS4ZK1G5rhJpI3
LPbrEosrNFb8LOnRKb7mPeZzXU6hFLmH3Y/HoJnfwmygx0lMczE1jJ+CxHtdDL4+yCZTtSwtyYMJ
SVukWoYTTtlvmNzjfJ5AcvcjLlUF7hJKsi4gt7b32MLYVIHuE6zZWGWVBX10xCAIBHbR8ZEKsH8O
AzkIYWz+A5B8n24Dv+CT2yAf2/4zHfZdAKv0T1jGgc/Gh1TeY9NPTgIDAAxJlQaXk9e/jsgzQKTF
QaNjROsM9dSVxa48TP2zwoI8IfN9J+RxNElb4cuLcqbjN4lNtHm0irfAi8hR+6sncn/ryLHORpEr
SqNXH5t6csFAiFss48h5p5J8giBUMW4DD6+yT+Dxzu0r7jkA9whFniw2JZpK1HTzK0eoQ0IR+cC3
thvWE/rb8AHM44TNDam+MmzDqkQyykL57qn1Al62fgtIg2QNdJDpefUyXvgb2xdS2QERU1fEi37x
+PQBzxXZcgaZuBLdBqy2Qx6l9tMuT9f6OeiHe5C08tOabWkeCi6u15lSNAwIRmzzA9bf0jxOwGdj
X+Z0zuYEvMvyafbBjXOKIFfmvdna6CLu5Qvx6ksbAf1PLHZiIM5UtJ3ai0h2g4/iPDfZ24D71Jv3
BHZHnyDx3U+BuIxwbfJeDbepH31BA/AB2/xcCW363mxYzECVOg2bftRb9h5HLat8hKqKaVZQEhDB
Qtp0PWKVIcyT3iHk3fVXlmskY8U77it0MpyN+QxW+Qoax2cHcBh9fXiSg7g0KTp/Ym88R6ZyhSeK
O0WqHCNOsOP/fR5hVcRrTfv+U9KY+sTJIsGwgupwUxZdsIg6zqNk0HkUd6+ZjlGz/LmvEjLdD9Z7
xGZCe6ybRl54P+NWHjiWYK6W4iV5plg9g30eDjWJDZY/dEGGpgy3y8O83zybz1ip9n/UjLGoaiaz
o69H+a7laixpCIAUFWY+ggSB6xjDdRijYK22WsA4nnmLCpOuRzevNbh7CRY97SKMuEhnJCp+A84P
PzvazlhucudjpwXmv+t4BoZFrB8eiSVthR0U7IBwoDxg94x/bCEvlpE/DLBcHHgFpC+kAInNpAyP
IXEo9TVerehw14YWBnfbY7VqIkCeriOqlD+x4Gh7vNNYgZ4FW8PzuQ6So1dDb6s7YEwTB2LSd0hv
o0z9FnP6r8Lj/63Cg9DQrP8yJsVYT/1Dq4MnGOAhccFviwF3Qf2HMSml2FCQIuuKzmZfL/E7fAli
M0AQlsLOjMFZ7gr972MS/QV5P2xs+227xD80TfdtFD847btpCo2C7u0UXgI4zP3nP7Q6DhYlgHwW
3TXbmK7gx4aOvC6CGHYH2Jt03Y2HcNGJshSKyCwe14hHoH6isexD7CgIWCJzKJ9NNWcmwuKBzj/5
tgHf44gq5mX4HKwbL2Dufd4m7cqOCF0qja3WHQdrz2pUSBDOHKuHx05jCRAFZU3Xzf9/7J3Hkt3G
2mVfpaPnUMCbQQ9+4Pg6prybIIpkEUDCJbx5+l4oNnVJytxQjyVNRCqqjgUyc397r71LPLtZpZ0W
EkRKmdIqeb+O6zZbxXZ71RXSw/2WPPWafZMYxdbmbhjAHi36eZtUSEO9mqt+KsqbORoeWYX3jdlw
VWUlAZIWH5SH7xsv2/zmCbZndqXuOoQZOMH6ta622QnnVbkhWlGsIGKUpJqqr0YYvXUCOHSuOOt2
eh9GHcORxYqssPXK8uI06uaTLCIoq+4gd2ZDlq02BuAXEq+KUSokW10Pb1A/XoEPF2u9nt87N9x0
oKo01H4NoEQjy21j4NsifKWLha8A7Dyoe+O99YjaDeHsL8r0bByLad7NYDP8LsJNFjstLOHk3u2y
guOe3OWkYsdS3Geesmrb4kbW6lWsdAFe7oVwnt/0fKQdXrq1OiZ1sW1RmDauLQ8aN9yiiTPkqfCo
wt8gn1Mwm2aZxf6l1zfayO3rFTkaR2tjlFFxAxd2kvDJwOZGaqo+c9DD+2P36Wfwmxu8pgOm+e4z
o+0NBDiMfC7/G2zTe2VqTSAY7GLUG3ftFJ/NAhizMowQk9r46wC8ljPl9AIZ7r6dxxut116NWh7U
cn5JULvZKjfG2onML4k+HgY1ml6zGIgkh358pEYRuD17PkuFpW3VN4QXdg403iNpwvsp4WVxOscY
GrmXcGw49sfzV9OyVl0MaMtKbW/d2pO6m52vmihNojjtY9+Sw8gl29mMXFAaecbWUhJifgQmWWxX
NQPmQCnjz1FazUHWTfPGxaYWiCna6krzkgzlruSyCQoXPoc7gWuBOrFuo0L6GpmDcTBDSCEKdETl
uW5VbAWGxiZaPFhhHJGq0h2/CSefq5n9S73LnNQJgEwcCqsZ/JjMV1ch4WOm/drE7UXm5lvfhEc7
A7+bTuJM3vZKMoOH0u1dFQTUltNBj5vL8euYTShi6LCtRsIHLdqar3vgVlP3ZXbKNdbavdpELwaq
6N2s2MuOFdE0060HR4nvRl2BdDE8V7EJQjL29vNYXYWRK6/Csnm2R/a2rnOn2PY+NtyL4jU3MXtX
ac7nPK93acl3c+aks5Ja0a3Id972nJpSIjHwV7a1iL019BnIxP1ovzZ9g7ooutvQhe2fFNmGRe7K
btmV/3uK/zjFq397iv+fTCbF+x9P8ctPfT/FU/jBpNawYegyrP0ID/y+tHHA5zzOP9+oDD/5gTj4
U6bMnINq3V/wSMZy6HaYO+OWQ/X/RwrgH1LNLGaQeniCLtQl0vm/LG1R7QwCyll2UbTqJUpYFGbO
CNpk7TMNK7uA79bU3Rqmo6/22DkoAvCm6jy4QEjDAR9PnuAx7UCx1E6nbyJL3ailcTeAIlu7TtkF
fTQd1TZc2dBp/OXekLi6DDItg/xWZUGvcHWmzVu+UJcYcnwJgf8HUmFAEFnj1ej2X1jfqsBlUrFC
S13bU2/52gSvXO2UjDuJtcDlWHCczusCEyM6SP9i2hQljHGQlCvmslfdaAFFitpnQL6wt4vpS6na
B2xSsBxH7ilR33A+gyhmYZn2C8e7nj3tqQ+B9wl3OVfFyuBnDhMNYYskmCOc03kehb4TQjZvN5OD
Nb7iGOPrw/g4x9GpBe4uQ3kV85r8cmJTn+v67ZCkqz6K8nVa6KdQ0+/DKWtRE7vcx2uAGbnpOfak
rIGgfna5wdA9dOWTa9VKYKsTxQWcqqokumt1IV9JHD5OzPuv2sVcZbTNNtNwHIqqfh0jYmVFus3l
ALe+Y+hsDiirnRHqHBJd2Dn6o1E1eIOS4aJA8VqnaTevdGuO1rNHoi+qPWWrlN2tocRfLBxccC6j
AEhjelXab+34RrBzY0r7rZmMctvV7M+7Buc6qPPy0dPi4o7zoUzfk2j+Mozx7WyoiJydhEyZ1rHr
vtWaOId8v/dqW6i7sdXLi16H3sXEl3CYgB6bHvro4Ni7tp6Er8ZqAjXfm86GmAlTJWU+bMmFP7Gj
XzlJHsPvKd/Jiuk7tYw8ejRs1in/3/vct/scCuJfD2n/J3/7UtZ/cp/jp77f5/SPmxlGGdfUYTlq
eGJ/v89pv3HzM21uNUiVPw463N/g1SKVat+sjT9iaegf1VCBmOd+c0v+I7cM99k/7OA5JajwQBwN
1I21lJb+uIMvpTWn1hQ2FzUz7tOyudMbemHM5iYdJWO23owPkYpyopk7MU0C1msabsLeBpA9diFn
R4k7ZRq6Fd76W9Wc5yCWjuZTDmP7zazdtGqF3d7jdxWgP9HZpLb3ItQwGWd3tYPeMBclKYJyPCmV
iuO7YLeDX04JFHioK6d1xDrr2RvUkEvPapHfOwxBTk4/F0dM3qgqNva1KOQS0zNnazYMKdy+HAIb
urg/18V9XLhMMBQMHWrd7CtpbULA6OuGygMUg/wdcMYj0AFl2YnsSkO5U+ZU88OqAQRHwnK2ok9A
hWiCsTrskSUqWb0X2lGLjC99/FYbAdUWu7IMo9XQM4FmDC14R1KMFdmYrvS5kWs5iTdyWNIf2/pL
1w446cGAeyoviHDGnoaHaybfDFGLtQJCrNUOo+m+WsLel6ow6dmw1JXnWMcannuSj+PSBgM+aNQu
qV1nbJq7tbZQ0VqDiEgbRc3eWTRIbPm3egT03FPiz6Ne3JB1IEkMqhwkX6xt9KpEbXN6bWPYLGUy
LNt1ltZiFaaD5teqe0RX3E9dArSNETtqy+2YNtxy5k5bVwbsE7dh5GV7QClsksjrqMLBH7WqEcAf
fQK7Jny8kttKFYcmde5Nb37TlKjY5hMgWm57oo+9VamT0pDACHxpyt2g9job0upgaLyWua62ngE1
OQ21Qr2WZlvcuWHFA9cNy0F5mc36c1IO5V7vlWu+4G9emZQQjKPiEKfaM+UepxqYwkpxTehAg/E+
Dt1770zTpmlHfAKNG+7gG3zKuUSRZXWaOZiLbZKhu8O3RF+Tqx56IV7k7F3NlcbEB34tCtKxmiYO
aqqrbtoo1PwyBelcN825FTOXT38fR+GnKnaocTIgSgglvwtnA8y43j1VBrauqo12rkXKYwLnW+II
pbgIwF1kPdSxGh/AtaK4ivmO3zkcK3zJCHplyUbfxrezwAT6GiqE5i0f3mhMgQoSfaWF5lNTihoJ
HbtvQ1rs0OgdrHxsFX48JRWj96wN5rEpnyMVbbiI4/pa2JbnD+hsYzHRn9Tljy6anR+1MfltofmN
XqK9GrIgF0RFVpOkCP5Tq+8blDq/FDbIQr3bq7Or7isXXqkWZlub5+JXtsFRY7lKXTLIjWhnv6yK
ndlynlJQXUtm7gJtinOUonGlEWmDNTDSixM7Ky9qVq2JNQ/CwEoxrWuBHZpOlgdtFFdW3R1KYzp7
Zn3XOz3dNk2+jZUQpxgmCr9ItXM/dg9JaWFDm+Lr3OxuUs7ybjqemnx+bsiZ+CmsKz8vxSM8mIM5
qrupae5RylW/6gqCh2VpcKQfj2lTrR21Ljf55Da+Xo+nsDZu0mLK1uOgrR1dHvSuK/yp6Tj/AcqM
tAvQnTOMoGus0+zR+uZTGFq4DtP5OYvZXZgVdU4AEV6b3CEoPWHYbnV5X2LFG8mWrTGMjQDtvCnF
8SesXWLahbFFgtHXcQnOxCJa+u8S/rGEm8hff72E37VvRdJkb13zx2V8+ckflnF663ADWPp3t9QP
y7i5HEXM/+e+4qTwXYlzOcg4lu6xwjIR/PCiflfiHHB1eKs+AjFMH+1/5LEiRfHrOk7MWuUpIPqR
rWYc9/M6TvLKSOsxKy/dBCznhAnKEmdMFEJft3TWXVMm1aM9ZdbZktV1F8N2xXe6rvX8vtcyLgMt
P1Z6/ZJN5SFritskh1qq6ORORXgihnGiKgdkqjNskdojRLj0iBHyaRbFu5c0o1/2OugbAn03VjRv
tNwUfjxTbkEEb6WbHVmHVpzwlfojrZ6r2ugL7ZNOBhKud5QxsehdbU8NYJ0cCHC2ABoZ6MBl6j0U
wlwaqOPE/XBm2r3cO0jm28rxDnbmzua9Ebbse8N8EN3K83CzHmuRNC9iCItV1xu5vum7nmF924kr
h0kWDH4PtQNnARAnr3FrsaM9qycqVEdqtc5xN0d+NoyfOnsZGmXFkyPpWWqx6bo9IH2Z2G+slWxO
hmq8EW42bKggOVFxUgU64UC2Nsm6mkOGgJ6xLsP+QVfDR6We962j3PZOHhT9sDenYtUrBKAG6+L1
9uS70ga1od9OTfImlfIKZpXil2136hyqsBxF7tyYPULtabd9p+zhhq2LsDoTkfiqG5yilGEHy5uC
uXxH0PyI++Oc6+OZjMMndWpuvTjb6cJ+SL2exKezC7XoYsc4P6tM3mVy9p0iWWVS3Q5Wc1u37or4
8l7Y5lO+pK09Vla3OWTgWAI3J3oivK8FZHMzs8/G0K0HRo4mCRCtbE5h0lx7BDvqhtRn566kosG8
j8/MmS+w03zPmuHNmeRC9Kd5KE+9LnwTpDmfZSDFsGHWdxYhbHyDNdewNl3bHqgu3EpbfdUt+BVJ
e+JQ9ykqXbFePvrI8e5NBrRJrm1dezxqfdP6naeeOx1CUyXOtQ2sf2J/NCsPVmzsM0blMMFKWkLy
fQN71uVg54XVu2c2lAFmT/QWPpRqDFxc2YTSOoJB2OhdflZFnzFP146DSQCZJxHA1SB+qB3Dfj64
jhYAQjtGDl1XCZVZY7zH+AOaZKrfa0e/7b3xtp5SUj1Rb904Fll9e4jPCOiniezKpc5Usaf0DIdL
opd40xavum+N1UW1reOg8ZXqluls3yhBZQ+0nDTelykaz0y7V2ZuUBkX3YxVa69GhvI9QfmVUVWv
rZj4+hk2yLFwC8x12ihG+DrX2WmAJwsPpLtHGab0zGBNNNtmrZdsMDSaMn0jN51AiesxkL1SrPVY
O4WmeWvWRJMVM2f5HvnEUVKvhVS2jQnWrBflTlJ9hwXSEZtq1E6t6LZMohdSHqQ13D18O/i0ln0B
0+zrCrJPUJjNlW4QfY2nBnkfPHqYHo1K2WrGsM7t6ix1nVlBlX8GVMCHMSsrfWiA8odooElLJ0Hm
7kvIKiu4BwYbALYC4TyyoRBdUKq6F+gx8SGRyGOeECZJ6SvDpv3cOiYCiJ73gZLP504zTmOafGFO
CE7O1XehJHA/JjHHF9Hf2oX+CM/hoFC55SpdRlqokIGaDCfL0ya/N7kDkLaXgScRIfUq7PwhkdVG
dNOxrDSsGEZyAUD10NuEveJ4vI9sINExiLiCuWNPphaAthbEVc6AvBYAtvMi8JLYY46pDEfcD9lV
bFEi9+/a/23t/9sJ3F3yXtd/MoEzf5zAcXxn/kY8hb0V4VtO9j+s+ypHd8cwFoXwp9iiR/E4WiQF
Q9+SMPzC7+u+9xu/RMdcDSiRhOo/nMAtT+3nCRxmo6Vs10ASICe5uKt+PL9zpshj9udkWVx1WQRn
GCTaaxl9UT021KAzars4Ji475GTw9OMg+ftady62Vly6Sm4AANxmHaH2ZgYnoYxb0mzPRW1tK+nc
GoV7onyz5ZD4ojG187OxXc9OetVaHM6ixurpq+oe5FjcY7+jGsZTs6CqtHalJvIlFMnKtvQri0k3
daRvM7KTJuZn3VS4TMb2EFMbSV7eoUU02TUdcqko5mcKIndDnCaBmbbXoxO/UHfxMLvl0RN0zthE
/FJL/6oMBS0Z3WNKd8ui422Q5TazM18nXspMC2Ci9LjyByyMrBdkLUM3RZQc9rBfFysLQh5OFqdS
NnVDOdeUu48gQEdfUuOxnzsUgCE0r4SaEVUflJ09cAjWkjrEcA1lwxz3usZYUdq3g+xuwXDXD5k1
vWWSaZtduYcoVp9UGnYJFFEaqo6nKGUsP0SOsrZEsWt7RQRj112ZZrOnZY0YaEjoRfvCke01CruH
ybUGjkHM32d3eE3VZkEGGqfMMd8NR9JAaWkPH+b2QaWPUjHDDWxQii6H3mYgN+1EM21dd1hLgkpd
w3sWRZlJOj0STMRSpjT1GaqaFq9DR5Tb1kqQlNsymUhJSbXdl64bsbTSiAkTDT4DWdjaIaG32Kea
DytV1ldsD1pLb0EALmar8cN4xS0VqlNGGW4UV1UgTe+Ud1VFL5zxuVgMXMpi5TJMbDok8vmvAWAF
fi8aukzgbNVXAl02KESxmhZzmLPYxCIrvXVmOV05hnNWYh0MnS75Hdj2SyV+znCbFYvtrB97jKwY
0bzFkmZW1heBR02fxvcZpdRnYPkYIej6zBdO6mJsSwEG1YvVjUIzY21a/fX4YYPz0p0Z1y/Mb4FQ
Kma2tvDMceBFpjAByWCB+ELf8VLhNHBWzVvCV4vtTl0MeFmknCNCXKsCZ14xii8mZj0L054OgcRK
5yu7oAivlDe9ISA2YPOTJoECG+MfxBUEKVyqkWo/hfQ3bS3+xtWGp2iubhLMg5OpNJQUvwCFBZg+
sUnkYD8nK34VrdVOumKqptC2lvmKEjdBVo9UmQzLDDSubrupjPZpHC/dwueZISj6/lfOJ/SwmH2t
bqoprT//u658rCuLVvvXZ8oTofj3+n3644ly+bkfTpSAAT2sGBwPySpyZ/9hZcHFirOUAiYcs8ui
8/1ESWsZ5WRLdcc31/z3ZQXgFmZ6VGPWg+Wgaf2T6ReW2F+XFSzvUIfhAXIdLQfVn5eVXGZmORGV
P+cGFBKphib5ZefF4bZQOt2T3nKQmG/CibqnSlvrlXvTtdEDnVApBDvH4MJPV1UxneyjiJTPxpA+
5OACVxqbmi10xU92C993GgD65WKnRsUQyK7cWFodBnEvcFmo2iulFvKT1sJEMmjbWAszCTdzLHZD
Utu7MKoPBfhjXxjxU26V+Bm8l1lp/Uy6dTAk1RvRITz4xltta89jPy2q4nhq2Z1CRU7Z+lfiqoO8
5Vt52T+R7n5l6J9cFVIL1+B96WOS4iHtsld1cmbqq6J9iGGS9RLbRKW/ktc+e0UdTLZzx5kwxSlY
gfLx6c546OLkhUA2Wmb51NRKdEAh4qBpBnnRnzVB4DmbzuOUnGEPB9VUs1NN4i+lbC/A9khb2sPZ
Q6tEO9X3ZrkRLMC4/wNdv4uqU+1QNZW+UElW+TzFLQs3uTutX+HvQ/xFqKW1UXcfQpNuJatpdr0N
n5Rk/laEytHOy4Fia6fHHbac2sStbOyjjR9iY3LvCDgz7Koy+1Ir8bBq9Yb2LiZYtT3HzNe6aypA
dqrgxqsCpd3GBbaSJDEPWcHjZVnQcPani5wD5zwlKxCzxxhYctkIurJDz4cjcxza5JJJ74wHYmUL
3K7lJI5DxNYA8IsDl3tx4dp4KNlbFPhs/Wgux4BCEc3PUhMB02maIEnovUgc1topwejX5vO11zpv
llT2EVykDSsenfLkTXWKzZiUNYFD1Z1N5d2k0xFhVuK2WNrwYj45RRoPFjV51dKXp7KrO1aUP2du
eZJU6lHz+xg3zSdZ0bWnLa1789K/V+LRhehFJx9rKewaWvp66vq6pAYR5NLgl1DlFzZ0+qUYU/Kl
5Q/WDEVqkz34xKsMnQiHoIuJzwMCqLyYQKBSuposLVMh++a+7F3dn+hzElBvMrpYW204lUvh00zz
U9i0RxVMtr5UQmXgc1w6okQT7b042tpLeZTtNvcDbVKyU1BB7b1alIeOtqkSA0WqRheFFqqCNio7
rXhT5+Fo0lO1yBhdny6T1vEmy/stedSj2dmrgoYr6ZV7jcYri+arKmIsZFKFVU/GlaQba2jUa0jZ
2aabYfQyTx6WGq3GnDdQyy9yKdiaZudQ07hFZuKKOrGdmUKsmpZSLgLB1HTXp0g6FyzIn5ulvsuN
9LumbJ4iPJDhKE4dPV9xNN0WaoY1i4s+zQCeD8kTVL6tFZW73E5cWt1wcy3lYYnTAjCCLAEH/8ak
X4yd402+FI6h8QQxDWS9pz6rSyUZHFq62fXudogtoAo9Y6OlwKyY8+eORjOn6wNJw5k+zkrQ0XkG
w+oVJ9Z2UIZ1SydaRjdaUQNnW7rSmoidNu1pcxM+J8z3mDF9dKvpCTVr2UfjmruUr00jNWycoOd1
bWdXHg1tJii9calsU8jYwEm/mHS5hUupmyijE7vRfA1p+FOf4PtV6uys0ARXld6ZOQBAv2Hc5EtZ
XGJpj/QtHQGXPBn0xWlLq9zyERqu9UnSN0fee23QP6dFytNIHx1Fx2cV8Bl8rHJd01inL9V1yVJi
B859VS21drVmbYql6K5y81fJ9mnyOPoTCcR3I7boBMOqoSWPvuRDhf0Vqt/Kwi4L3FoLdPPeibo1
qKlPoLXuZovavYJwzl6liU9ie1OWar6QuhiTrj5N2luH7j7ToMRPtLa5BsCr70gUcC1H7+lS+ecs
5X8TiWdiXfTXaUz0VBoCHVKMgCYoDdSX+kA7UndN3j039ApW9AtO9AyG9A3SIQNRiwbCYkgw3Zf3
0ZQ9tVXcAxu+ThecGtWFCGUTt5UR6Fd5GSg3TJaWQ9fudwq1h+3sEiiwb+ZMo+/O463RLsrSkxhT
mMgM8I6SAXetkkJaufUAP00bbqRhn5qPwkV6Jilf7JYeRitfKhlDyhn1gqNavvQ1xpVNZADLN4c2
rs75CGWFGVvNS2LkBHV52jpR4V27EP78vO2LNeXyla/jfsCt0Y9+3+WfemzGTAzEhhUGN5eLB0zq
GXMg9qAfRHglWY3A2pFtvf4gMvbvlTJ9LRiQWlzFWL2KNDBEDSwpoa/dyrKnHgIl5c12vaKJA0YL
IG/Fz6HiBHUeoU218lJw8nsWmkOky5prZdO5g3XTDMV8QKel62jITJfBVU7SXA4zRARNOQ5Gfehl
cq276cYcBcOU+TGvwtuoglxQwW2CCRLomYvlQaueQ5pDAydCtyZV5kM83HboRBCG2089pz0NqxmF
o6d+mFhkklXe9Zs2xLhpNPdSxSfjOvEbd9ZH1ah34RBfVGt8D4Vxlc+8TR6yLV+kEryI8Sxn6wr3
BGJmZgQ2uH6RpRvA54e+Y4museKv7DqkvcxaQRi+xTqG/zyf9zKyj9aY7LR69jnz7XNvINWjpti8
sYnYwrjxhvyuHVkwymlaUaV1zzGiQDZKrxCSiCkrJ9xNAVuhrT5We2ZAWyWN95FTXUWyfbJN4yor
tENtsNIa7iZ15edQzJRHo/yF7BToZKLSmowwhkSrat/z2DsqtG3Rikb3Y3fVedln21CJYngF4+Xk
ttaRDPQk8EwxoffZu3hU75qFLNQWihLQq+JP9IvO9cDcnzrWUCwqZLNpBX1onf7cu2aQCRpfLIVC
AAcsTsj3EVNdxd09fc5gY4MdhI5PtaqXdgzBomyvSPHoeeHWcOdrJr4xepx2Pw0MM4V8KjVbXaHb
09DaJ1/CumT4ifC8xlJ4Hiz1HEbG66jS15UIuVB7CHskew+O0CaKwqs+nen6ts6tBNLG/R08v86X
JSoHC+eog8txkto6nGz3UmoYH81uXWYuFKdWvclM5Zi1xKiVyNg0YGb80IoZhQNx2MWT/WINYrrz
uNOsUuaC4+gyWR7Kp9Gab6Riv4CFDTcyqZ5VBra+anebFPRDQP8ZXs2QsOJy66lgJ/SlF++iOhOB
JdOThMKdRsp8UfT6SmoR0RIbt3NV5197bWzYIlbFyuRPU8qBvK/uIhAOW3JB+8FBO5/a7jgTSIC2
aT6PGheaUME61qMHWnoyKXhJzimscFOYDGfjuTnKsLYJKRhPWMAoEanDG6/JXtBszN1yudsGrkiP
aNEmxTn84sbtXSHNG20Yk6NnIKhoch9J9V6P2NGUloq01G0jtVypkDirSN12jskp1sq/di7TbZNx
QWS49wAcD0krrtLeZp85LAGr9nnSqltvJE5ZSOcstOicIxojc0xXHJ4fq8x7MUfjFuNKeWUZQEy6
yC43emu+zLm39xYGqVCTYlv0/GKl0jYlM5AVvTP9TmTQkZoPlG30gbWlIEjnGFFD1V2739i3qWEr
a/0bE/eHE9/1N7rBfyH2QRHTHY013jNwP/x8gAJXoo66XiQXIaVfFKeGNJ5n3v39g/wJT48HsTVw
PIiQHCV/fpA0HGtDaZrkok57pYASgKfWvG+H+79/mJ81xg+enu05jD5p0YIi4f7iEQpV1eMUoLJx
178O5YNi/LcKGZ7mf/gQH7+f6anG+JLBpWb9+l413mSXpZ1nl2Lgi0ZaAM3299P3n3wWf/L8HdxX
vEO8URa5xZ/fpsgBbmNYFdMnzh3WteUd//73L7PVX57/T+/PL5+1aadarHArxaK3VfIg1TbwBczE
H98zsfrHD0WG1aa0y7SQkL1fPorMjdQZJ1F6UcWugwqq+hJtzyQWGijym6kPtPmfV4QuT/uXl/XT
x4J28aO0rGoJ5S12luGgDDxELM5d7WoBX/abf/6ifvz8f3lRhYPdv3O/PZCRrApsMvGGdWRZiuV/
+a4tT/rXFwWBECw5q6OBYv7zizKsQi9ZeItLQ8tG9taPiHvfVK+/fN/+7Ov2w0P8+nWbkcVL7L7F
pXDfRPhiKv8fX2ealkg2MkjQrA/t5ofQjagyqzUVvbgI7oCM7LJJBH//gfzJm0QSQLVRQheL9pIt
+vGTL5SC/b2tYa9y3gbnTF6Gnsz/cu/6k4uGi9JyMHkzu9AWjevHx/DIGhRUKTH0ZOM3BW7la9ZN
X/ulXM3Gf/km/8ljueAidJyTzGDRn35+LHy9iGzCKi7xcqZeJyVTxrVT+SV7rNuPt+7fMJvGm/b7
TXf11r79r29NjGdoH//nf1+918Uf5c7lZ77LnZCIbPj0HhwgPgN0yh/kTvU3bs1E1qByLuYavm7f
5c6lRwBHi6eRZsNjw7Ts90GaieKJQKnyDeKujoD6jxTP5Svwn/sCSTZAAgzjPFdnrSbV+ssa4Wgy
UqkZac9gahqcYUmNjzTWs5VTmd7W6d03ot3DBvtovCaUJkzlkDdutwTtF0BN8sGqiT+4NWbSSGpZ
OwHMX36wbaRZ18N1AfFGGmlyr9SD7gFxmwHiNAsPIIvFqwGy+oYWFUj+aqhr64i0MEGdoswSDDRz
vGmrpolWlUW2dG9S7SKMtUadV/MCd1jgZRyzGYliZXQ2WdWNXoyJdsg/8P/RPKXgRsjLYQZaGgI8
g24w8EHRlrpHm4k5bQKUmlTrYYmC9qmtrYeldUDFXvoIu7LTdimL9Lw2mqWrYNI94srZR4eBdEJl
XhcmVWx7Vc72qZuaGHVVL+27xLYpQygcyQFjaUjQsAW0d6mR1d6aaWJ2GYEZ6Th5+PMU4UmchwVT
IKsoFTVrQOnsqwy21PrfS/RjKqFy4fz1JQoMv33/4zW6/ND3axQqDwqnTd+FytK4eNL+M5LQ+V9Y
xD3+JUBKa8f3axR+IzZ1xt/ef/C936cS3m9LXSd4R1apbxf9PyFrfKwJP12k+NS5C3C3ZuYNhPKX
jUIvx4YetNi4NKOpYmPt98AeqpUmDIM5d7UpDb3DKD49oSIYqyYyP9eGe2xxUa6spepIjIBf2jq+
giwIhkBFfBJq7SNOdKux6c9jTWqUCVxJaXP3afKKlziJ1vRv3aY0dhdTe9AN/baSuNlFhXrpSb1B
HNOPRU6TWKQ4D03qldjL8pYSovABcPCTRcMazuIZERvsnxUZF22w115VHpys2qfWbOznPiTtmjLY
7ONxC/5srbvyK2Sg226IrAO9IVs51Z9cxrNeMz+OsIT8VGfuTdlB6tt4p1aGDAN1JFXkyPhx0LrX
dOzNIE7jnd6VhS9h4QIYwSbW4ixG3TPOaV4dUNRRZer6a9Vzyh2VEm9w5lKXXOPBj6qLsHrGhHlL
c1CCv93J4canMX3oHuLdubFpTcdczfyhMuevLlSHc286n+eEN5czbXyj00vkx039ztnaO4ky21ue
gt1VlxPDg8a9NAnBdmeJlNfou369xMzTJXCOgTv2MR/bW5jBhNWXYLo5OtGNGhnadl5i61WUZMQF
iLIbS6g9yYm3q1MmdsYSeVcQYbdiicEbdFMbSzDeWiLy+RKW18aJWM4SoEfDDoGgEKqH26lTH27k
64LEPdrd1UwCH2vXvl0i+UnufqU5xaYrgLi+sgT3pyXCD38RqORHrH8J+JNIZWdRV962XeL/YgEB
eAsSII+AA6i0sd0S3XFBhrCOGBq7eHXBCXxQORrDUG4yVko/n3ml1QIgSGzV3rgLlEAseAJGuHKt
0PFGaRPwAsY7+DH1+H7Sm+uuU4t1rLgTpkH5qczQPBJQmhCpACJIrzE+WKXI8MtblOjF60DR+0NB
oZ3fxF6xmzpKgPUxgg8QFsBrQDH7sZzJOfO+40ZSup074LaLB5O4h9MlX9KFp6EKJ1z3Ua7s1FZs
Oitbh2GBn5xqKz9nQuYzyMx97Pfwi8XgrmoG24HNjO9m1nBPjt2tPeQpWoBgRJPp2ZlKzHZHa9rX
tpg/Mdhi5ZNa52deVp8SGrACY5kP1ZW9t6eBaKri9Fs3LMxbXekeE69slZXaduRFY33UNHLC8vPA
s0KGR2qNRUa8Oq62SjLdawqC0wgwOsBneihIcK+HYdJ8r+8AZQGKk5SokqCO1klRKKj15MoN46HH
yB6A6LqH6XdwRHE9OE2gKM6psV5DR7/qSrt/JgDyPtjYO01FgaDxf9k7k+XGrXTrvsp9ATjQN1MC
BElRpKheqQlCXaLvgYPm6e866WtXVv7l+sNzD+xwhlMSKQI4X7P32mQTg0ud0GI41d7zmGKnHfa5
OFevdX5a0iRHIczvLYBEX1uLE3RabSM852l1CXtNs9XFAld+UpvgLizLA4j7W0K1r7HGk04qmdhV
6eJ3TVGlzCIBmL3UjIJBSxPgXBJMg7XQ6RFTLgsfIekXN6MS3xfkq6j1+K0xeTy4KtEOTt4d00l7
m3Pb3va5QbhoX8ehNmpwmQ0Sck3J9iBBw1m1EjeBOGFWfx7ZYgeOYl682YFuUzrVwbUs/uagZmje
CxYoQ30Ea7MnWKzyBXKVTAb4pN6wbDLCIyG/esEwd199ZGOdFmlAtqf9DTJXaW3raj5V+vBRm8Qv
jdYLeWLWAa3nJuvWd1JQyfqs5z1vuggTHQQ6gSFBYTvnJOMp49UKin2UyVBuGLtpe6W19wvhJYCF
kPil0201lteF3uNZSYv3gQWnUxlnLW52itnuYjI++Ux9Ylf4s/WWuGlKjsb4vU+dC6HBw5Yx7mGQ
PnjoSAhx8ltyGRXOgtEvDAKJhuK2xEKvpclDgaU+sSsWSnjsR8z2RTr4o448o4p6Z1NiyI/InU3l
RgpFdY9hHz/XVzTii+ccQ3eE6qR3cQDlhR/b1Z2adt0/tdHv5GtJPv3r2oiA+Tfx1b31/6E++qmH
kV4+egRGbsR28y961j8lG5JibVkIOhhOaz+U/n/0MO5vFrwyT7U99B7SKPCvHgY6qyxlQHRIsQWK
pb/Tw5BO/2sT48L1IF/DBpOI6cD5paeuYpeDRLj1jaoW8R4uxi6JscxCkTiOjlj8adT763nU652h
rthJ5vFSZSZHZFW+d6ZeB+Ax99hlrK1ndIsfTzazZDNpfQ5neE7KpDMld5WN09org++5vLSx95yw
7PFFZxg+AUhHkkSvO8vcu7XHkaskOzK2niM3rv21dU9rt+B2rXPApcVwFZcZeFbTulrdVI6xnBN5
Ho+xBQ5wSF02JUiaqi7FRNi96ZYJjsGKn0RpNchqE4A0MzqGXKwnu3Ke4SL3PmPSF6+on+1ZHL0c
mbZTPChWeRogaviEWz5WHRpqRSOkOJqOzmreVSzJWIV+09PZj9s4xK/oYOxurhunfgGse0ZgiZXB
gtM84yXiongbCEzbVDPAK8UZtinaiA28xyIwullK19pl67rVuBVCLORUM+AA9UFosrGvE1YaGNDO
U4EeM14nbUcAQpjZLb46wS4g1ypf0deLEdkf+tA85OMSTi4PWiOuLrNph0tSHlKd3StZUBd7dB6T
Noq3jbm82Cke63SyGsBvZu4XVVqHRrr0gFYcSt71tpsrh61dcTVrxVeySlX6oD/aSYdmvdAjH6DD
TSYc/VxEzn524/v2zLrAxsxIOPbRXojA0HG7pY7AMt0SZjkgNR2MQey60X1JbKqdsa30TVGnOwzy
1SYv64/csesgG7ApIxMKC5eoSpWCelj2KWl5OMWz964zvrDQfFGRx/u4Nc8y5nMWLWJGVZTbDDHh
kwHPjd0jiggnkryr9gqTxqGwtJM1JiEwapxwxCpvl3nWfT220T7+MFRX1jhsJ6Hcps306a351PmW
ivJCxVa4tmYPS7O9MpVW91ush54t7Wy6ZAIj7Q1M093r0q1Yd/MbcVbsgFna9SWQK0CdXLpyUf9c
G8JAr43vkdKvZUMfz9vcgZGHpcvhKMcpCYKF3AqruPNYn9l6ZGyIpT9Uno1poNc2pXRcFnHGfeEQ
zuDikA0N6cxk9K+GinRrqiSHHhe9uo0wchrS0QmF/s6VHs+ZGOdDA55mkwwTyagrBj2TpQtz4pu6
5k6B3wSZOGkuEQbSpFTVoJGeUhtzaVHZrwNm076+TU3UvR0+VMLNCKOz6/OM5moj8Kp6ev1p9jAJ
W1yspVk2WyfvkRrOSh4AIsMkbLVIcFui3pJV2eFFzNZXXbpju+ssOxBVyMCtXcD1cBmIMnpbpK1W
X9pTJI22FY7bmcVTxQydWjV5UuL8izUhwNGq5tpmu9970BSkgdcjh17aGh6Ig//uSZdvPHPdGdL4
W1fx1gQ2uFEaXIUibqtrRZ+tk4ZlWEnL9owGDGa99BM73hoFs/QYj1FU+3GH7ziZxEl0uYvUGU9y
4aX3ScfVbJmxdmBPl7Bn5BMndFlnOb7e1lFjg3IFcdKXYkUfotwZbTdS4XNjJWsbsbrEIw1PNAqR
B2VB3Q7mnkAR2jLoZmSUgxxob0u5zcV0rUbqQ2Th6dN0cRVJlx805Tnd9HXXZcTDaN1L7knPkv3D
v9TjZBp/9zT98Del0urUStOT+8P/9M+85Pd5CfODv64Jgq/if84EwPynmQlf+OfMxPjNgn+lwuL/
HWb8U01gMv5g6EyH839Ekj9nJkxTVCB6KkpO84f688+awCRUlaEm6BHbNiwHd+zfqQmsXyoCE3oJ
wxkT5L+HxPRX9PoQjVlfrJV+qSiR1Ty9dmKEHWL5vWz8y5WH7lLE/DQ/5Z0wPJVIAgoggsqsX0sP
BXATHWM+XZjW5ochVl1za63jVYmRkIdqTODc5FAHD/WNt4zXbd48OnpHFDc+bH8im3Sbd1p+FJ3l
EZnoqb6xDOz/rUbSVLqXqW8an7BISFVy1JH0xX3DD/T1priweYPrg31t47Y6khtFyPQDculIjTy2
5ex7DHn8ijTogOk044G8CiNbhLppDcEIzyToc4T/jvmsuA7ii9Hb8DZf0MHUaMqtex46d0o5nxUF
UUGqstifaB1s1zsQXn2eojImUUd7hFVUEIAhRKBLEtIohltLWcPJHJ89t/vSY+c1LhcC+HhC5Hj6
gmJJL1YXHVGXpCE20r3tRd2uTzo+oa57rO14n7pm7BdotpmnvyN3zUNRqk1gC/gnhcyvUEbZr/Pw
C7VhfSUkTmYZZTemS0zRAoYSdWPQEhs4Otpj18enei7HTa0td0477sjW2nPaKgyF+pIXaqAgGirG
Rrp1ryxN4ZdD6/qO9+oNnHrw9Eeoopt+NPMNFwRyKMJWmx4BmDN+d7EtoniwTooYLdSGzKRaaGma
s5x1PIPzAp5twugU5lpxIYw8Cw2D2JPSPKHZiBGwmjtP8LtNZMaHYlsCga73SiDXnundHaDMJTDW
/glFGdmsBFNvjKG476fxoFm5wE+qfqgFYt54Wp6KNLV2s7He6DMm+j7JBBna3adW6J86WaXgabV9
XXgHKBuan0/TjuHdbZm7wezU9rVjrJVvF9XHmjUvidMnhJzWD8DIssBsHdJOR6RmzuTrgOXpzYnI
5hJjY2lOLAbmpH2rkOt14eoqCP4se+42moqlDHKsTv7A3pzQcqjOFGruJBvxbr4qCtT8+qL5asRZ
Yxqfk+od0PGFYqX0IPuyEU+5ZchxwaQRMWqlkjE2ayniU/1gcHZqTN4GWVi57RtIvTstV76I28k3
JPDe1lyNDIgE6WT9AEVgCuop1w5KaTHqmsS120GoQ0XA983pzXuRSkr49M3OnJ5M1OYUp2rEInZm
MS8z6ZGPZMB6hn4/TcPLGnFczl7mi0y9ZF19ym1uWaPKL+A0joWiHNaCyR740mS7zgszWCQ99kTk
Qzbh05tH7S4Z7N1cD185sD1MMYxL7OZl6ragPg6J2R2x6u2RWQMIVV9Xa8l9SLs9e7zXwrwXE4kM
43jV1Bg6ketkSLL1kCIn8UxU06uxnQxzL3Qj7LSEIeHaiJ3hZEOoaoxOY2G+Vqa2QY41BZFCAoU5
NbsRa9RST98wEjJCW8ynYVDxQSmZ2T7IsLDYJYB1X+slu/CfDpjL75Psn0Ujv9BY5FOU48K0VZ5D
RGVoct3181K0x1tjokxaLtPiOxtzF13N9/UJn81GeaueYZQeGFNsoiNAuDEgAfrw33++nJ//a77+
fz8epYfBOk23GNr8+4/votESij2uF+HgcD54RA1586tCrOnf/zko+FkosGQ21V8FH97AmZXOYr1o
xCjN/aYovrz4APj9//Nz/v30+/39SKY3+wlVc8B//Pv7aanqrVFL1IttHTsbHQN1nvn839+LKX8p
v/7Sfn4zv/yQMVHVXocRdRFh/4T4fiv26qcbuABaTtg4481dt2X4Hur7x7MbFJuzOKXhU7+NtrfZ
1bTZE3V3PQT8xaAO+Wf79N9fn/6LjOPHNWXqKmsbCwWM9QN09pNcoBjXFbKiql3YUJyjW3WrnrRn
EM00C/4YLJurb9pu9s9tOO0tyy+PsCZvGd2G06bwf7yUf3bj8j7+60Ly9NalTf2fUK/y6/6oI+Hh
GVAiSL6wUXbwCPipjlTxjFoItKkGgRxylf8xWvoRiIHM+Se41B+rN/gSyHrJXINALz1Bf2+0pP17
fcd+HJkW0RtINQxYr7r2y6Mh65Rcd1Y9uSnV1YxOiT5Yr7OmJu7B6qoqJsRlYowztvarnZgQ2T2l
gqM5zQrP0dXpn7zErO89L7VWPzPGieFE5QzPvQGidSS/xtnaScZgIVWe8OBxosTAAApdzxFz2zSl
1W4EqjIK+yEulrcpXt/I6GQwPt/ZvQtBHeuELl3j+gIiQcvt7SyiYFS6K3bjaMF7hM9xJ3o/Vpe3
vO2E305QRUcQP5sepDlbEbfwkQiERYWEWqkYY1ujdzBjzgQxRfumtO9MYd2VFCBBbjifSzSfV7dD
Dyu0t7Zq7xtDf01cjrQagHzIWIkJj76uOzf1mNCLGv+Jad1ltnMt3P5FL3P8HlVxXXYMxpOc7O5I
Z+bQw84ywTxtiMdx/WbN70TbPLJea05Gx+RllcdVJ9mfXckhOJkC7BCxIqCfZpjfVVxcVxDlV6d5
MWyyPXuNcnFUu6+175Zt7kkYdD/uC6o21Sv3Wo5Y0kFxCaXcN80BmapOElAtA8Wxp/CiNHps4QKg
qfgvE6bOpvLqpyrJPx0vv3UxerpN8aHlyYNdyyiPITOvIys6pI2curTFRlhOAjUWDGA82texNIfV
hXnHwOgBSSuYIcv5tOvqSCDUXbO4eDtUF3ZWxeaiERIgFc/HKtWQuhG7RqG7K1Jl3ujSOsVySM6c
njK7LwIbLwjJoenWbpCrWjTfygRenDC8kLpNnEdGkHC5enfYdOZhyG0wRxKR2OXj7SqEvbEIqKpw
/qKEVwl3XcZH8HrvkcCIwJRsZBSghtBfn0mNeXGgGeid9gaHmImefBmquMNUHLbRelPkKZAkPfSi
CxdrfTbFeF14+QXzz2sKLCus8hWJ4IxKGs/HgGxiOQ42l51mZdc1U1iX/Stpl+6zQjz9ZiBR29dY
XftKR/k85RBcyhvD646mZ19Ej3JqEB02WceE69C+snAC8KETGl+wOK2dq0bYN4v0k1X2eFS8KCQp
uw6gCT64mfNuK/Ops8cvPSof+sE5kIhznQkKRDVxIEYWHgT5ms+BSeYnFEVusTXGnTMXIzJb+4Y3
L2Pfkpe2A6+gqeWNHmmX1jLD1svfFQUaLd3cxklylrVGeRnG2r2ujOTolEP1TDxuh34NoS5+pOKo
FGPjW9L1FTF+952yfJsi9P3DUtxqGGoKpUYVCEQYsoq599z1uqiG06gx7xyJnLDLt8HQrrC944fR
bzMcAEXksVwbbvpC3ZlUgkaDjB8r7Wm0bJP0BJwMS464Wmd/b7ItXKzkyhsH45hqHby0OYe5OCPC
5gFRscSFUAFiph32WuY+j2XFnK0uoTO3adYT76MOu7Ln1cdVjQRmNvXLvJhXCmvfc8KN5fOZWzcV
NgFWXOiL7MGZn9e2iu/I1iqOZPpZu4FfwXYqlGKvIaXfNA0BmDjto1jdCHtI9oMCy584AH700qhw
RjJAF/8c07/PeyiN/vqY3hb/E9QdQMf/sAPiC386p0mZAugE80XqYH7eAWm/aVRa6L11G56ipDb+
cVB7vzHqMRkQoXFGqiY3N38c1HI9hPoVNCQaRarhv3VQw5X8t3JUHtR8HxoI1TQoefm+v9S8cUTc
niYAOpr10ySJbgK0m8KEauNkfXdRVsl9o6d9scwGfo2FTwMuEbc0GRRYX0R1tcZoW/KVVgrf7zPD
XifooGj7DXLUcDWRg5SSQMfsAgWyOdbbNvI4UREjMPBd70fJrjNmNwE+7Tx6YO1o/qrQBjizIeXz
iro93ndA8IZ0fo4mQNAia+67OsHmpKTeXlPjDwT8DzMBNGgdzoB4pGkk0jZql2nhYsHFIVj0usDA
RRDL6tfA+dgTfIsG/Wqwm/6YgO9T8UCFcWsn/jhBdEMA8m53OclYkvvXzdYSevX8Zdf2FzLDLEAC
MQY9uEBvNl7QCFdXmBahX4EU1EVym0jGIC/zw6vKmxyjmWsICcZBuP40A+fe0iHArIIGa4F+ZaMd
xjWb34jnN2GGX3ahbWeJia2LZgf84NPpprvJzuM94dfYuIRFoMq0rkGWKvZ2VGbCVnlgp8BoU6C0
QtJpKcpqJBxujVViQocCxLaAI2XYw2sp6batAed2BHi7SvKtqy5PLrgm9zL35G41mFrY19O5eteJ
0nxfZfgM9u1s22eQF+oZVYC5FvOuTNnE8TjzDk27JLdGrj+yu4b/twC51114FHFufFtVTudy43nj
w2gX8RlCfHO1qiVCvkTJ941Vb6dMvdPYQDALcNmosIriZE+f5IoKGcbobogfygIjxmnZ2M0cWDWO
cEWpL3EWRVRs8Q6l5oOjQN6cMqiZI/PLwr4yx4pfManmUTY/N1b66RjldURSxQZ/GPkh3UB8ijK+
mTyIwZIb3zDbvTIFA40cO7vFM2vwXNleV1lwyZDYeVxDRcea265uiOstgEcCuTO/tiPnpI0KQ8Vl
uS/X6jsoEHcrRpecDmtB0ZDH1gaMxwf5Oi+gY9jNzXcF9KdFKA/sPV8HulpmeR4wQeXYzt1ZNaLH
ucqOy1TyaUX6U1zibUu66CGaneOQ8Rtq9NgMjYbxUo5XodLNb5EzPbJwxuUb4xaaFc5LJ1Xfe9O7
m7rsHDddqEfQrFxH3EyaeWcsvJcySm+7XjuQwOeDjLuKoY2O9nREjfoeL8OTnCoS7Ypay7pJ0nVv
dBiOVeqRvF9eLFJmdrj24awQmejzmAMD3Sqo3aSkJJoFUfBp99L15ZXhiVNu6IdEXZ/GCvmTwOTv
t8Z0aDor9blgEYIpxR1qqffGKJFW5EW3WW13B1XE2KJ/cLfRUAOcIp8nrD2s9SYr0gwowAHZqD/3
8Ch15GDyictTCuBYbopLTbW10dtBDUcMl5T0lPwg+lV+BTyTbo3FPmWj94FsmGvLsR912zwZmL59
Y0TdI5aGMHb5iOuSFei0eq97FZYjGE9605ebHmmep1nFvmSzpxUDdTxieKx78/O4xveaar47JQqO
WHdPBPdFuzhWFIS8xR1HdYcsLdf8RXfedRx/W60qQFbbzXYxlHVTpjrxTu4S5ihIumGN7rOWdJy0
0x6qVFRgvp30o0mUs10LsSVwDi52+jwl4qbDL4bh8/vKpGo7sLxGmqUilWsbQFq9pZBn0a/lc4kG
MT6teox71Rbg2TTraLndgycBk51ETa5r/Qrdy2NpLAziCdeXCCrZxhE9TAa4POvYXcy0OCe0WwYs
yxmmpSbhlkbVXaEw3uYxQJRxsG5hWZ5GT+k3tkRjZjAyXTxxKqAxxHzgM62JVTuLywcDsiZwvKsC
0mYmkZs56CRezfriSRpnuzyVFgbZKbtwPfBLmMfHEn7narEuG6TIT6i0fw4r89mjtIf6qdn9lQoF
1FTnxwopdWRaFxtKaOOZFcZx7moJEHUKm7pNQkWBCOqIqACNVirQMZ6xAVyufQWLtJNQUqfseezY
OOgksNSS6FL4pUBMm+ywSqypkk+H6gfoVCJPEYLqB+RbaeBJIGot0ai52oEnk7jUeGaaLwGq/1Rl
v1dlVCh/XZWFaL6q/1SS8VV/lmTubzjsCASgKHMMVcJKfpblMDKh6rJV/obFVOWPksz5jT9DXyHI
/sdc5aeSzCJnFD2OYzk4Epgf/j1rgRT4/DQhpCTzdBC6YL4xFjCA+8Hu/GkCl5eIOuchcs6khFzF
Qyuq0zDpi+1npWiaGnrQyJxgAmwB+SGenzCH4lWuvQpV4JAl32ajvy+TdgmSHlv2NIy7dooDxuUs
ENRKD2qtAIXkZe8G6gZuVCvdktvbQm2wzgi3B9YZJAVO5R0y5edprLX8dkAnfI+EdO+BMKocZjAF
d3Kspso5jyoXHIZokcQq8belGZJLFCWpfUmKxblYlctOxCRJxtjYiHjqwIpKtXqwHQVHFc+padvP
WjTctEqfpE8jB7GAKj095zo0FlZt9R6cXrZwBHenKTOvptG6s2JzQWdXPalr8TCaKA3rpPnQpSrI
Tsb3ciBUtRsynmfGe1Jl6wYP59kedYQ+8xO4Fcs3KAgVoQRKySMglmIYk94pcPEUYwJ1zK1mJs9o
L1zWOTnyBOs+d8lHJywrWJT0U/ech3I0v1Qzo3kv+aVY7nDrGDlnH2KU/cT3h3XW5K+LEXNOTule
XVmltHIjVhbuA0YFPayrHCOrMUA5zfR9QipCJUQXlFN6MBKmWlaJFrzqHBlcmENTxMrFg2O5Mhr9
NoIv6a9GglTI1Pd1zj4IT/zke8usHxahscsb1U+19gJ37HH7MWRBaNLvysp7i5P6iEPxCDGz81MX
xamxevdOhPDSS/pwjpRPy1vDQp0PRC+c4w5tLprzoOlWe19WzG36qPk+1CxQ7BRgwaiUH1PizYFY
qhcu6WGje8LZ27L05/K6NTWM5oNbnwcyKKkbo0vhse2M4UTHiXYXNfjGmekRxTd3lo+KHAALh25i
1S9jRvdex8PVwCc49GNotUm6my30Zbba1lsGXIdSLDdzaz1r/XD2hvQhG0DPkjH/VMbJXWImKRKW
cafFtgKgFIiBSLq7xYkeEM3eru3ILaKlTUDUbLzx0hTLdBddxmjdL0WkEJ6pfHStkgSq2eS7xeKQ
WjWvQBtHpG9s9Tui0c1AM5f1qoZHki31EtbQ2AAUVYZfimJA5D1do9X6JBb3KsW4CA03PdlZ021S
1TkSJKsxXJPpaoRUadwAgallb53aTOHiDTdeZ74IJQHzwpW1yZYSEuRofC8XUC55U9+NawOq1iGc
CQyo48yQcSqyu4ccjuy0VnvF5OqMZEnXF+lXsegrh6PzYk3Wvc6q8SBq2HlFpx9oE42AIPTrRCC6
t0FO+2ppmuHUZjdpbBM8kt+VhTjDAVbYzTJ5nLJ8m5beBWN3G9oF/cTUTCyQgU5s2sp+mDRGimqn
fo9081U1ig/VsA7tZHDOxwP9hKJ/mb3y1GcQcMqyfCqnQd/q3ni/LIMG67T8Vi/mEU7Agj2e8CIi
jB1oP7dG5jYOKVnqApupfTcmcod1C8yChOKPVntiSAV4MKe7Eut7Z+jfWuyde09lDtp4zmUdBa70
IWGA2iGaR71ZbQhM/oCrjSvJGe6TakBV26jFflHrZTM6IFOwQ7w2tnk/lAOhwwn8CeLGp4Bs9YwM
vaYCs66eBTqyLcvXL7Fi9WKseMoyXQQiqp19nlceMS3gMryxJYJKpWNDG//BBrz0tZ6cEhVexTmd
LaAXfTujTIBHa+jt3VRRwCwu6kFtFds8rWY+pxSSvLEEqZUtwZIlzal0psNSRq9lNRN9Bitmqzso
8WeDq7Xpsg/bqejCJPzBqhjqmcayt6uuPdSNGeZIDQMGeEXo4rEk6zNdd1XWvnYuJJdOQdcc7WpK
9ttESW0GfKkHvXxSN2z6vXBWKuK3SIW4BXjahE6rHdrYuM6gy4ZDmbk7+mTSDvDp+JFYlqtkHD9z
IP8hkzbjSofWDNYAIRp5mhVBq9X6uE4lnw2ZsKElx7DM13mu6kx/rUEcjDJiSa655F1Z4hgX3lXk
rUclXUtJGujCCNJYV0YQBZ17V2E8ufZ0esmI7pL6/9KMyUOlow9gqlqEBAmkmzFROtYMw4fdlkzt
SOndzS46k0WLBx+4PaPWIrkMKbIY4juDvE7FrmnWI7l118QjBGRvXQSI662RtSoRbrTbqdOdPSv7
cJHKFn3EQMLxaFNtBf6HYsGidxe2EDHb4ZWht6pOT9qYv9W5cim69B66Q+2rLEPBD2g2A+jmqyAW
LC5VMxwMk1C71ORb4soIpkL91qR0X2JMz5EHFY0tjwimFjRaHeXHyiUkL5uz+KlNCiINom82zdRG
59Z1ivI7NpZvlqGQ1zOcmx+ihaH8iCzd22oeCgKvLJ6YwCLJSZEk6Ipyu6qNGihFetIaC2JYnR+L
jkrE5Ey1FMEDTNO+ZrdHtR5du9FS7sjLvcIh4gVtTnqqVT2XS3eeKx1x7FKWZC/AOYu6q7bXjlZR
fiqN+5010LixmaBUrbKP+uwLjU7Ys2bY9U6z7Rv+71QrT5DFrtf4WGb0KqODqjF/88bsPQEsDn1Y
Re/vHDAiyavGjf3e7q7WHvySk/PxlHTqGaOfeeV6TiOdtliHlQl3coNa6T7NYv4yD3BRorDvCrYs
pOGgF3bTHZXbKxXYIZ2JaKfSQVpiM0QG3Dk26Y3dupvIm541g28OBB0uKAgLplY7oxyAqJNz4UQk
waEwJLoVlWX1pBkceB7uStghZbC4xhkByGM3TbSjPWk9CgT2JvWuSWpH7IT6l0XVxHTO0hDvlDvc
DPSlksqiTeWG7gJRIplKjK25daoVHQ7i7PtStLw1tyLXkLpz4xbpVqkMWT10B8dIrqYl+55oVhrG
k3uzaNmuXne9B4zd3XWgx7X52lXyByJjUWaZZumjVttlmSCEBKgSqe/vhjuF9hS/uzYMMB3YgBKp
CR9W+0ZOBi4TfcosDmLRHbl9oCgxVqN/e9IaB1FqvXH7buvujbjY6/i+xJAHkWs0t5XN4spXK8DX
29S0NOU5EXWt+sST9N0V0pypZO41CVdAyRPKcrvw6VSqlSqBGSHyiFdnSgPXy6/qiSnAnCvcbUq3
Wz3AW12thIqTkS6ZK1OYmnVglvkYRKJ+wVmBTdUlqFkssbYt9OzR6Kr7ybTnENHF9zbrns3UsbBh
aLxTIHKexerAMd+aar7MEjOXSOBckoKeo+7q/TwHR2dNgOkUBiMcJwz+c5WDrZcAO6HLz47afPSW
Tewl121H3lUB9W4enLOAgudBw8Pt6G0q+HgaqNXeM681Cc5r6uadswW3H0y9HLZeLyF7w6h+rRK7
t0oA3yLcPYulC0p8gKcJ8YG0Ehvqmimwo+qzm8q9IYF+mN7WsIXxZ7bFnZ6LbSXhfzAPpz3P3WsP
LqADNM2v8JLtR8EdLeGB/Q+MoAQK9pAFAbnbGzx3u0ZCBz0tf81b6GDJTd7kPAEW1rwGa2AcZp4r
zkoPIKli51Ja2Se+RZQNGtYDcId1rJ4t0rHYsZ5N/cZmVKeQOtxJRKKAlZjDgxxgJw7O8AhtDjUP
VEW32822c494yafuPS+wF9MGlI6EMRpQGVeJZ8zgNPICHxPZ2jvUgttEwhx5KryaEu9YrlDdaoiP
s0Q/9j8gkOV6miQWsoUP2QgVeVF+O5FYnUuApIAgX0KULCBLpsDmSoma/Keh/9HQy5XDXzf0p7dP
jDb/745FftWfDT3rEl2XWAjdQo5koVP6qaG3ANGYP1mU/9XQg0WF021ijGEuL93Df+xY7N8QNYEQ
wNNsIItgDPA3fMimLX00/5L8/BBDuDLXA5GUKnk4Ukf1U0OvqNoCu4gAhYhtriNPvQFjMovM7ows
8bnhYGxmsMArR6Ujz8yqhAxcj3skX1+mPFUnz/ITYyJk3SmOc00psXrZqUqEGmgcypU8nQd5Trsc
2OwIJCLU87aggj+0scmCwR3PA6F3QhPfSK/9rnH8w2LGVhgnr7ZXBIqY4qeOkF2cLvkxLqfIdyJU
lbzsOhwpLWpZY8Sa/o1GDa2mrD94DvYBmalmyLTiO9K6L6AE3PmybnFrcrlKSpk6T26p695WShxl
odbxZNVTW+m6zSmELFkRjRJD3FCBo6av313KpoTyqUQOvekm3uIoa6u+0S64GwCrIUul+MpkFZZ1
CEtZnl+sLLuolTEDUySxaJLVWyHrOLgBgmp6+qCMgHCsjSmOZLcADGstUEOzB1w3F05zTnF1QKyK
N+B6Kr37ngKyLDUisKYuzAqaMoUiM6HYTIb52NT0Y86UkBdOQRprGDbimhoVOjqwz9HiWIHwHDCX
WbF411g4a2tkCupkPlA248rV7SxkmvmpyHo4xk3NEafGQS+rZWNylW1DAW3LQtp0m3DBd3C7yCob
54gXLrFK5V2UHrZBqpdK1uW1rWA8IWkwdcKawn0BrrDrY6y0RZNIXJjDOUGh78iKHyy3rP2BgMft
io2EvqCIy48ByAoKXHqGQnYPhewjiGZ9LWgsbPzIpzRvOHZk18GoJcxkH6LSkKSRhq9R9ig6zUoe
OUng6GIOMtnJAHG1zqrsbjp9Kf14XD8IOTSobNBNj7IbymRfNMoOKZW90rq4J9TYzC1m+6tD07El
wuRcTfjQjYFL2TKzOYhFSu0eL66vKfZ9RWsmZI+WssXBr+sU+6Gf4cvGE8JkejoSIz4c2eVNZURO
Vly5gSp7wJZmMJJdYWsW5h6J6zcv099VGkdHdpD63J+UUqH3UFBNmLSZK+0mSyHUlpPTsvjpPftW
XdbBvJLmDtmlWgyE5m7BgzXRbCfPc8w9r+cuNn8c11RLc7gYg3FxpvLb9L/sncdSHFm7tW/lxD9P
RXozOJPyhsKDQJMMQJDe7PQ7r/48G33qRvrVX4fmiujoQdNQUJW58zVrPausW8ocHNUAWpH0OPJ+
itT8DQn7ekqwn4xUYFWFMjjLqs9+1Y/bMbdQi+DRD8nUWBi4kY+klkEB9llI8GS+navwgoHNWT8B
YcLM/5Z04sa0cBCZ/nHwGXmAPpvneGtmxSHW4pOewusBqxstbGQR+6Kxr3UsyYxBxLAhj+PoW8yV
vJhO0SOD2c34xYmwa0f7qGv6G6qETZtJdTTZpNcU8lBp8skkZHMB39FZiIksVOxb7iGZu40/RRPT
w9Trus9lJIYKQzWhvEs6sOrGQtJ5X03T+Djh+QdVoLdDg/ncd75EWeUcurbOo0s2W5G/74Rmfwkj
/FGnFCXytkAas+qD8LMRE8LpTNARjBCsZcj1srNxELJhnBnbcN2tnRqPE1fhY2/3uznDo0NE8i4G
kI/ih73lmECqC6rwyp/ni6kkE3WG+Ajkr7jM3Si76w1OuIJcn0WT5SaMufQtaryrBi7yDl3bRkJ0
wReJ7dZTqQhB97WQw71wKK24i3GfQ0kJemQgOiBiOzn2mXSWda0/oUcaFlXJoJHpqzEa+bLrwnYn
cvibZRteyEw3l7JDiqxFKYNYBN7ZvlTldWuVT141AAlQpbdHDZ5k6bNJTV6l0/NEjV5irAQ27GwJ
ZOE+VIW8R0WvTyRuI+/Jdr6DjopAc/KPtcG/iFQzMNAVuHQHc9HtQ9UuePQNBkTOhaFaCaj+FtuQ
kYUnbUasGg7s49GmVE0IQxxU22YCQ4YGRdKpWINuLIsRerJJF5OkeDfyxjsL6W8q1egI1fIEvnYr
YhM3Ic2QEzECaBraI/ok0qIuK/omEuRLMlrcz6k/vKSqtRqn/DiqZmuYumNYz58dujAqugup2jLo
44daNWp9Wm+SQKdT9BlH0crR7wHZ1Cpj0dPnlVZiLdnVsrDJVzB/bpCsWQuDvtAlx2kzqlbR8rtj
qprHQrWRpZw2DX2lrRrMPiGYMKHnhMfO+YzXC68p2RHJDQ70J0GHagr+WyfPBprXzOKj1n2m5qqv
9WhwCyN6TYNg59D4VhpfDWmFAZB/rWmNCzPe/qkn3+tJJYX953pym7+Wv0BPqW/6Xk6axidiI2xF
r7HxYCtdzl/lpPkJDpzNP/ikEN9CpfpeTgafGJCSg/5ds8OXvpeTSHV9k5/FvxCWK7P3b5STBKX8
XE6CQUP7w8+keLXVj/uhnASN5JlT7wcXZkFOBWOAud42VhWVV5ZWxubaiYs2/MIOvLmymLy4h2Ig
e34egjM3Dc6aMsgYP2TPGYtrVZANZhdtpG2zqawt0L5LWLH7crLEuh+CK9Yeb1y/yRItI+MVc6uB
N4jahNm32OpgD3zwB1Ot7bQkf3YaeBskhJxF6XiVKWKC2zUr9gc7TydPmPUJYJBxCXVDY78qt1jR
zk0maoniMIDThgeuy51UjIZSM55ToA3kTzn7xvceanAOczO+0F+f/KDJHQUOcR8D3LCdokAgInlt
pA9pNWX0o0gRpLmLi5llO04QoMCDsRNgJQbFlxgVaSKztGZdK/oEhwF/balRS1bzZzZQJ1/xKkZF
rmgUw8JkxRTbEGKsPto0inNhNJFHEIjx5IPAQPM0rISiYhjgMQowGX2aMkWuLibFz9CK0NkUiqkB
Q2g/KsrGewieQcWx0hHlwsCAxlErLge7lGIJPAnXjLwqnGzfYjNfkD7/VRYEz+iK79FUIWIdDmEr
kk+l2aPpNYy3ztQOBnCQkRMmVbSQUHFDhneCyAhLpFJUEan4IhOgkRngSKGV4wOfJ/k8X+bCPUEi
U0R/QBXpgYDQm1GRSyBSp+0K74mIz6AI9oxFkiyKFnWeVzGm1i4LxPmELHeft77NBGGIt4nv40Qq
IhGcTE+LD15WkfxAL73nfan1tQ07dgtmL7gJYXYEy1waE5KaivXSAC9+ixzEzld5P0VbQ1YxOrCy
Mc+8PO8pglx/R+Su/vDnOHw/DhV14p+Pw5unEjTfMn/6VY+tvvXDoWjqPjtuVtP4V92PfgPzE3tv
DkU6cHVg/rA0ZxtOK40dwDNcWGB/H4ruJ3YuFjlYhFnDo4UQ9huHIvTXnw9FXycoAZuo5eBZARD5
46HoGZGR541D+DkGtYXZ4ewnf0HCsC6LBZgiYz+G2QbGyh6voYk3vIwfi8BTZ+PGD7ptlVfnXi/2
qaNxZoRr3WbumKdedZYnXnWRJs291O0HP2D8/R5jjGFvPcjs9hvWG1UICi9UZVXq0e9akJsbHIH6
GlQ0HAAWgjp2P/18jpNhFcz2wOUfM61zULCUekcAgRGs5xQhtxGxgSQ3ZQ5Zjwa6U+2QYtF+hjYZ
IMCaJTRBDojWWcVTx8p10O8GErS8VK5HsyMDFyPf0oX1guDSeSHMI+a05+eKAM1UPyBSJMWA6K8y
fQmSwF/LkGaiL6hdaFf27FPDPQACGEekNFcciVtm4vnRcciTI3YE8YzKmLOb9C5RqXNa3gGEiNKL
CuYUqyhELTM7Cre/bRLhLnPC61wvuqiFMS4si9gIZOzgCki6IyqvX5Uq/W60dbEMGsmJLfoTtLR6
mRFzvMFxr06CAwzW+yIdroMU6H3IGHkxj8bOU5l7kvC9wbBOUTmfzyqVr6fNo85rHnIC+8K+Qpia
0AvhtECxRqpflPVAD8j5I4E5wy+PAaNWKYC56e5TYgEzlQ/IoGUkiTtaC5UdOGrVi1BpgqbenpvE
C9rEDFZ6cVZgIDHy/mipHEIy0I9i4JoJVURhgjjIh1G+1AfZr22CDFvynNBOboWwTp6DM7fjIbgU
Kv0QjMcqIw6xSbXLTOUjzsQ98+mRmYh88Np0zVNQ5yptYZiWtkpYNN+zFlXqYq7yF9MMfWVOJGMb
tbeTymgc0vIU2eEXqdIbc83fRi15jk6n39sEPKYWvasBbFiq7EefEEgaiTODUMiZcEhBSGTjkhZZ
qNzIsHX3kaBFnYmU7Pr2IqlaoV1VDKLmVznl2Q7Z/SrI6nsiG8VymIcjy0P7VPZZfUi74LHK9Gti
Zr76NXHogLvrOdpEJeGSLayIjjw13TxWeXyeVNVhSttzCJaXAyCElWjjfpuHPcOH0HmbXQ12RIo9
kw4l9PB2lMN8Y7rzCfR/u4XnMW6ixJlIpnZ5XZ4hebMdvbldSy/ejbN12TiPrWZEi6IP7sqAfJg0
OjYm67+ic/ZjjGy+ni/7mRDHISFMzemvOOwYQBHlYSJC1RL0M6EILy3CVIj2RZdGL1D1ybVneMtQ
RjdzjXvXbXpKhYnSx2wYWdiUF9sgMjCUyjzZWJm7zaMkUi0dx5IZ++vq3Xfdc+WQJYTylX5jUczF
pT9pD55dvlWN/pW4cXjsVX4/l9GZY9CVTILVABYUeogm9FgG1c9+rzGgz+ITTHaOCV2/LCqWIz37
2AuIda/wQ6c1OOjXvlXaQne6tkZZ761y+GJUxUbY+oNMvJOfi03QFvGqmLhffLu1t1MffS4nBM/Z
WG5qX27ZZ6/0urkMkvyoM8qaWzLmHBGe09cnq8TNdhX5SgdPc+78PsSJzQ4Bn9itoTvmFllHu5qF
Ua/rKZ3WQjNP5IZXl14VXDuy3U25nSzLfECYi9HDrNHIJZAaF47XrfhbE1SIZCMFRDbFgg1LJ7Eh
gZ1eI3V+i4KXhJa77azrjPeE5wCymAjzAxCeS4h9G50FNkdYZrMJp1wbZswyyPC2pM8RoZHm7LU7
7WvCj/P9TKwcJzrkTgQbjDQ3t0+Go60ZpBCyotg55nQ9lXSKBVoVtCzGirSXHXB6n9u2AUrDlifU
VplvHeMAZS2D0y96OydkWEG7n2z8lfa00WKmM0m4dWfZLKPY7Rn8IN8NovYlAwxAKqq1bRwkQIMQ
JyIUG66a+qZ3pjNbb9MlDp5tDzXPyerzsarzfW2MxEJN17qs1qhr5QbA7rESwU4ztPE2nmW/GXvz
NQt6Bried4XEKF3P+Wz9MW9+I4OpyuKf6yll3vxFe6m+6a9KyvxkYdmkh/vm0ORLf7WXFosM+jpq
LMXqVk3p9/YSzSKmXEsnrRtEqm592FZABTOU2xL1jEs/yJd+o5ICN/JzJeWxRQxIfbLVb8EP/LGS
gmVEpqIGD8gq4nthMU7PAaCzohOgU+di4wt3azCjcCT5X1NwX1SM+vSeiJIicG9TH/F01e2LNF2L
wQ/bleehOVsn8Vjf5VVgrCtTv4q0stl3zNkQyeSp9mzmFVO4kk04Ti8qjGnpqJgfN/fSXdsxUi36
tL/SS/AUVe/ejBmZQz6yL+wotIiltarjGSfeVN1Kqd1XTnlnMXFf6CYjP73hCaJJlOv+Acn1Ch3R
S4Ma0cnKcRFhO6hT85Kp0705tCXAMgY3YZedhhqwRh+Wb5JCjgbM2IS2F63MprBYnUwXHX4+kTOL
dgYLX3QVfxVjMa86PWRaRSpGpHfoEKrY2EC18rAWarbcjxMP/XiMjkbvXVg4PLCbH+feWwKT9hAb
xNR/5nBshvpzrAePmu2xGc+tqwzRe+cU91kyI2ZM57sO0+jQGzWBTeQd19UbhpLV0CTXQa8WHpgc
6qjYG4W8z1pcfNXwpjdsPHRNUj1YVr+Yk2HAP0EMiMUzXLRavbRid8lu2lyFpt4jyYl9/LE8tWcp
siVop3yBrWXZqY67IkUDBZPU1n6WzZDV0JW7uvcSS1IsLUNuOxX7grBzWfomAzFr1/cNYcUNQ3wE
IadYNIKcC9fti23n5DSraD/2Vtcs29Y5dVPG/LzCAReXw8bWw+cMNSQRKogHe/YK5fRErAe6Q0ad
kDlQf6H5R/buQnvRnnTK0WUzIPTjQYmwKniVWeaffN7YNaTEfmP2sYsbyNrV4B9u4pbK2uwIVjPM
iLWvh7tnJp4rHsh1ad3cZsrp4bEkLJzszw4qmXDP+8RnZmfvNdHe646z03vzfhx42ERxq6+61jTO
EWmmZ3VZsT0IAGTHDja+cED/SFCJvSTSNNxKggfO68kyr4jvZv2RDdsAsBg5h4cia0Me8uaTb7mk
x5QyufCI4cJ/ZW+kTyHfUaIaEvijM5bPsiXkZEgeKuAsQDKzdYRpZ5nilLywSTCFmvttePiPAJ8f
XWM4rkjeoNGib4NIBHH9p41mbU2MUbTAuMiLu8z+CmBkLPYfzs3Lb+vRj3CLX7wESEKXPEllHzcV
d/rj0lTW0dSmiWtfZO1zn13K+rYMvgVx/AEMGIwM//kZdUzKqOV5VHZJJ/df//f//efBxjd9f0ZB
F1CPKCj7hqueQ3zpr2cUdAFCV/hg1Kbd5GP7/ohyP2EOIqma54dPULMajn6fgL7HjXKpmIxNPcyO
vzUB9XgM/rhPZ3DA01MHW+kyXLDVE+zDPt0IrQ7KDXtFAHJWc4dQPKcnLWVhrOJY6/EmMrhLQM1m
BHNV7sSgcsyvdI1cElSoBeq5qcMC7+ksA6XvtuDiqoYVhTfg++qdFq9R24YHimb2EQwG5uyqQgpf
s5TBI/Rlos9eEvN9Ll0i22yln6e0Rsss4ufKYyZmKpW9bwQxVbi2nBDgB2WakR9PHtOIOD82wof6
Xa5f6SlKxPxdxk8KHIp+pe0fnAZlL3g8b3KXVS+78mRrEg4tTrRExZqaKuBUV1GnoQo9NSHoRSCS
l51bhEujLjftlIzLiqxUkWq7JKGdnEhRJcYs3eYqWBXd2F1C0qp5IlXjVJG+OimnfaACWcM8vDVI
aC0qfR1IduzzldG5d+PQfma/vbbZIAen9+vvz42oxlT/fCPuiNYjHLX7xb34gfRhWp+UHQWKPj5i
qjsOwr/uRfsTiwjDsUj9tZnKMV77z80IFs52MazoCF/AxSKM+etmBMBPRL3J/c1P/WZy+Y168cdj
2qEepWAlB4MKFHYdF/WP92LXA0f2Kme87PUDz91UXlftvzxsvmHn/hbQ8FfgkkZGz+LMMV3wPD/f
8JjE0jRr60trBM6G6sJp2YHGlllal7HOnlrBw6bsaq4S1z8nDNN7YDxvApzQHbmMGWWZB9Otl+1U
7UU8neHoJ7WM2zYxUHfT+0iZX4aOtsorbS9bmiVR3XQ6ZCoZG+tZeNdT0u5CKYpFXEybMukMdAji
oNXjheZnz+x6nzS47H1d7+FTP2CURZuZxHRi7do3c2LUWgJrpuat6T0mE8m4ylkXkLFhM44CDKWo
DTsx0M72Xnrn+TthtUv+vIfI1fc6p8fCMuqDmMrXvOVYCSf6V1m8hjUoSr+ou0WlT+A32mZT5/1Z
2Hnjyi+Vs25UKeSe/jy15YGao8CpUN4ORnQITfOumRitm0n3OQMOQsbN+NK69kHaTbkRaY28aBpX
gaBkdpLQWYZVc0Pzg6HUrrp1JK1TEeH57lrrKkcQwIKpf9BSazOPzBlYnkFxN7u31BNI6alvoABX
l2VlH72xsdc1TFgSekW6c3WA/YhiIkL7+nKd1AxnjcHPFjZ7XIPQWouPE1GNdu2MGl5VM79FoMMA
188eSdEk6HOs94HRped5NxoICbJDqxGRrhvCZksdnUXdi5VWm6BH6FuM5tKeBBV6Xn4OZzIPQuFT
P0YkJPp9s+oGbzt7zkudqIpSkinp2S++mob4afLmF8wxItufV8hwbjGLv9kcs7pIXhOB48No011s
NvHKmPxlhVhgMNtnI031ZWPj8YEjuKfSxd4xdJvEV05zKx2WdtsxUiSdlZanv8QheTdEPYD4vNvH
VtwoI9JNNHVihfqiX5YhPljiYdYD66dZrUYCP0XeocDGDIOmYPic6cgvE+m+pWnwhWGRgpUCNLOA
Uyy0MM5OJdHFyyhNqPgd/S6S4qa0nfoQZ9ZFlHveKq7ikYuVNGNCLLHOCyizI+8H2fGPmRveugPL
MyaMr7Yxupuh0e+yKEd0Cv900vwEj2yHGUF76zT/kXwBzJFZzPPSwGI2hbh2Yeu7FdEylsz29TsW
bbQbATSHdyOAryhunWikWHbVlCbIs7uMOKa9M0/ppWuNt0KYLIDq1wJSAIqkHIRw/dXoBA85j/iN
vkOblI3dsW+S9DOQGuDuIVog954udNrKmADpgqo80bTrpk8DtebLBQR50DqrYfSPmkcr2wQ1aWK5
w6yZ6zeyapBz1slunYJFKDIrEP5Ed+qKlHveVt5D7DuviT4JygV0vTbAloLJ9hDLI7vkJ40gzbFL
wBD3j1FvA3OdreumNNbAe68rw9qPhnYNan/latG9mbmPre9g09OPwRhdwim7lEV8mttuA29mGQby
K8pbujEvXWUt1T4E+WUGVNdrmw6/sLNBNnXuqXxeAUYFNOwKy9u4qIIJvq+vYbzRLmTX3BdJkK1D
s31tu3hjiumz1r46PVfi4Hobyya6YhmWI1nMQTiyQU57qWlrJtrevRcNE6PsxlymEZsWx6+7+jyz
rIeisuHzzmLtDWWks0Dh3CLB2q7loiC7ZNvJqln6OVM836KdFe2m6caHcczvmSo/QgSwrvTemS95
4IlNk4snYRr7uLG+TqF/IWZ5HuRBpMIL4Elg4FglzBiWWspolZlpcMu8Xp6iIr5JougZ65i2HMlk
Pzaoftn0dtDwSl0u7S5+LE0+xTG+TZIqXQWWduiH9qE3qhnPiFVsQkU4rPn9CEXg2bMMMs6AXsvd
VdvXJG92qFRIZ8V6I4NxHTWMHLjL289h0PYru/OKHXezvxJ5t7LdYdgNRjdusRkQecq8ZDuWesyq
tUbC12G/wk/h7MY8MHYski+BfF+3dqyUxtt0UNthLXxhBJoygzdu2XM/NMZ0EzmNu4c++lCR/LSw
ozk8/1CL/KIBo3j4UGW/P3SBPvrqiWtCEVPDqI9VtgtZBq6r6C8rf1y7xkXq37r81g6r+vTfqHg/
VhHqtZBZ0E0awG899ou0Dh9fq22rqTPZulz64TrM7oXcxNq/gO3+7SXU1z80DWMu8nzs8/Gy5saU
AEzi4Ytd3/z39+yXL8LUDJkvlAX2Aj++SBtn2ZSW43hpNbeiOpu0c234l774//9YeKs+vMRPrbcC
IkWGPY2Xtn9TiA3KLNKRoQQ9pfJfXgmdy08XwI+vpH6TD+9YHg9O4UIJvxRyXhglvkPz0Beo4NdD
gSJs/iZw/8eZgvrFfyzyDB+2sUNWggW/TsluPr5ch6JtbjpjRH7wYDDT94C3xUdZ/Fn0/6d//6+L
/n1RvzbJU/6LXuPDlt+goVAoUYAV7/KmD32/4X5C1kgiIoRAFT7Bd31v/GlQaMhRB5Am8R9twPfG
3yTFz8fJDgvwP7jr3+g1sNr/cI2gnkdi4JgoBjiVVNvx0zmBCLUpJ03I02TVcO8N4G/eqfZgPL/p
81w6lFqd3vF0t7DWzrvKzVhZUS6nnGCunV2HJoYXHx7GrjEGctIJs3yJdNw5SOqfAErfsBUuLpkX
Is6cXXNjOSwMaaTaU+W6b3Ht88QtzIK7gTAofIzW2msJEujc0YNVbzhnM6aTvVbmaMkhxpZyObnY
39M0as7Bb+E9xseFCTk7wpgoV209yk3jUM12gpFnDqx5CRuaLSIIAEBw8pA5yZlfdeGxSCCRZVqA
PQZll09t7UJIy+ASTQGCa0sJHgQ1HqHmXr0SE09E4fewg23tMef0rt2pPHhxf2u4sU6xg9kJU1W9
jAKpnTep+zKWPOhF5Rnbyknf5jT9gnMKvok9GARHh154VtupvMMwGOLwjdlFWch54vS1i2bzkbIX
ZTH2/s3g5mLltTkLc4biwM2CMjgCejHW7qhrB7ue9DMnKbttAjd6ETVQ/hr2UD6RBjd0Qmxi5a1W
Y4+o7NLe6n515bk4P2Fdk+fBQIjylC5uzjCx2frI9J+wwjMj7lkXyiZ2Hoc6wrWuW9mxC6XRbYma
kpTJc4NQk0BPjJKkoCUnaVCzI6NFJCwA/+gju85A6y5qPxBY95EtOfu6k+atZvZ5siesbD40Qxlc
JABhKPNmH3cZWzorvAgwmmH0yoK3wQiyMxPPvREV84098JxevT9g/kxK1K3+z5MSZEr/s0peo1+Q
PdQ3/jW2dD9xCmE9ZF7wPvX4e1RCnijkASRHQD3eQWwfjy8sOrqJG4jcHUiqHCp/H18O9DVgZ1BC
IK7hLPqt40sdT38/4tTxZVsmOikL0honpf7T8ZWkadzGeWedMPIVlFKZ6HAY966TKfD9WKNZGmav
Qdyg1yaC6lKCR6uUlZm9v9Wn3lMWKxuEAEyKjMPLDeNyNFrmFOn7VdmqC7SouvkQWeqqFeoCJlGI
a9lo9UaDwMUlXoRWSKaEq+NwyLLUuEm8ILePczTnLcCyyB1PjVU3zhXRa9sB6uhrONAgVXBH8mVv
+z0w0NQ3NoHwk+G6E7Lb2yRigS6bY8IIQ132X2bbA43piVg/mqjy8SiINFiWMOnX8RQIlCBNt0bs
mRydToIADWdCfNIgDJ76tkRlZItwnLeAb2ccjXF/yVnxxBbyi5dFLykRhmueOMWydp3XuoOXFlQG
IR6FsL/SZnFMIPcUEQyeWXc2Xab1X0Y3crnzdeK46AgM7vUxJTSo8z8bDAvQr4zhy5S4ww4hPYAq
+uQzCLYF2pzGO/dEP+3nuhZbm6xmdkszbr+sZEnp16DcG0gMwYAPIW5h7UMHaMc2hC9QHP2eeEcn
bLyTdJx5n9mEACVmQMZ9EG89BFSLJmJAY0k/XVYt1CQPohgn0CugVG3rD/OO58CFxRpkK8MR3lmr
CNEhQ4/Wnh7s2A6RZMwDpZKzrYDGkOk5Lbu4GenF0DjpcUyaQa6opY7nrFOtNi/0KMtuMClY12zf
ytdUt5tDIZLyM50GMJBEfC2ZXh3/nFrv4ko1jP3nU2tfyl8cWOp7/jqwnE8ue5SA88D/CUVk+GQZ
60oOoFvetxXM93rLo0hDe8Ta2OJsQgP+94GlFi1MSYmvN9/Pq99atBjuz6pKTkM0B/wOZDVZAMF/
agGsOK+NaPC68yJz402lwoWnqmACdiVNpF5MUYI4nN21jRMxhmo1ZOPaMTryiFHsyBIEsExQD3JQ
CImpBUGEgyNsRJm4MCZXEL7n5LG1JY0D6NHCtvOkBTERpoOJ4DGoyi9z4/b2pdf3QVOuPCIH7ePk
OGM7YfwSafvkzYRVzdDLSLjCFT41Q9AyPoybbdrWAXtmPd5H5LQu8JbYd6JCWuiDCBN9pQiuWcpA
VIzDMZFgWzC1ledenvXXhpuNz3rpODUQxzh65taYNnmL5g9tU8UArkLqpLGKBegXw7kxuC390ZJX
bL7CPaSC8ZSV3nhupIPSLNVv1ei3nBSm2TyRCIgRscMiv4wBLexjJ+1uzVFgqY9L58Wf82A7xPnI
3JIsEzR+bGxs69qf9Xw9KZhQ3uuTzXqJzD+n6yDUuLo8b2BdbjLSWzZ2beDsblsgjwyNrWc+pm4n
Qh0Rg1ETXhIEsfnFmtG6xfOckrtl9uZzxmTr2Is22kvU3g+W01pkC5kAL2rGLbNf9Bd9n73wlpZ7
wTr7xmgTPV+mhNac7BEaiONV8bkssmgVSSc5d5K23QZEcK7TOfDPZ8F8oxAlcxRZNDhZI/mCkz4/
A/rW3vdF1W/aIC3BiSbmybKMHLpP3Gbwb9BNGJNwrxhjahsqtvYSk069wtxeHfGZIjZsswOW2Zkw
Cw2esiOnt9GO851fF9FhqhKb3y31tFMC85uHbEtIC4o7Bu4dhaeQkMLrCACPDU1zMTkNfedsBuEh
bzT3nmHsZ2ii5pmp+fUFv3640TIiSNrKROPaNPqFnGMCOfwx3UcJfqgKRiVDwlpex40/rvCdirVM
+mkdDXO4aUGeRqs/J+u3k/W/1oNnT9nrLzrZD6WgqVRWOuYZw0dq9a6X+mtrhsoqQFQAWc1SCN0P
nWwA5M0wdbj6fFF/325/LwX9Ty4HKxkUCNnxhv+eJ/wX2Ytqe84e2yfXAv7uz1kT9HAklYvSuciG
PDpiLRThzTRlpdi5JnbG0UbHLD3Am4JRMFTDfG837BicXnN2GXz0fSFNZjGjTkeY5iTtTcQLL2wP
qraFl8132BmNqNaV2/WgBalz8mbyWKZc37gFKFLmjptg9l+ddGDGieRkFYb2jPUkjo7lNB7TMt9o
/qDqlbS/7oaWFmhyv+RTUC7aNA7WI4yQHMPjzGx8NKNrYaDn1l05r8jmHZZl0ey62TgP0N/Ai7tK
LP9iFv6eUeMNyLGtVrUPWuTXxzKsjiImHCm2k70RjCi3o6WvxTeF6dxFiT8tGATEnNVWzakTPXLX
7y2/Xqd6+GgF+VMfI9iSAxFqWTeMWyBy/M62h9qcpUjTgBdBWHoUSiqbNSZWnfxcgPNAMhudRGE/
NXF30cFr7Xij4RmRO1mNyH/D+oDFz1tSTe/oKIgTpMgzTJw7aHDXGTwQr7aMleXJwxxqD34TX8nR
JmqqS/d9hKNWeO3M/hwBgcLv1zhMl+lY7TjpHzMZbTnPKA2tZt5EktTpqI5fiIZrlrI2nFWJggq2
8SGn198i/j0va9tcjV0er8hwva/D2F5bzVvvSn3nZm6wpomlMHQQc3vGmzYB+GddeyHyXiD0YnQ/
eOLWb3yYd0G+g0d8lZMtFAyq06CgTbvaWzpRmS0mPZJfZDkf/Mj+6vEUWKcDdTtj8Ue7qQ9w975M
+nwlmH7T3D6ONSimpovfMGyDPRszOKFtel54cpe1UwC4yGhZG4yvk48EXjMc+uQ62qRm/yKpUkk5
tDbekL1ITCUVvB5Fp03c9nlgTnjGc56+vVAmoI6dcL4alTWIvx8GnVR+IRLw8A4NmOC8Red70Ogw
pvJJmR6bHoG9YpGpd3zGr7RIQjJTEMRsAvDqchFmJDzAS4x3ctAvZm6GK2pwb5tpPmhRHobkbpoH
y0qtJciehSX4npmMgos0inC8Tnq1JsoS35UjLDLODYmnyUqmPWsvZ+GIKjn4/kT/MjjjGnRSxx4Z
upw+DJsRvpKvRxcgsZjam8bJIpIA0Vlwha0PAkCengu3xmxgfKZckjeNoWWPJZH1C1OAHbWYKBhh
U6/9jguyca0MSk20GGxoyBPySB753LN4ZbhuTIKEvZIEKGPsh3NQbsQzVWC9NXnK0MJlAQu7nlHO
os/ZZJlJ+9z02tZAuIaAsNmD/7fYtPsHDePPwYhyf1UpMTYQoeaL6bFdhe044n5Gd2criUkZexCm
8JpstDoHTtjN+oswzIe0KEIk5fy/YzP623JGJp9lOS1LAd211VJ9O2BGRPmoPt/QLRZEhhwFLVI+
jucJd9RyJBouDZqreOSv1jWHDFb0etLaJkXYrasA8kw6N5QOgb+cYkgMlt/zCaH+hAq1AYopN0VZ
XMVOYsMmBzcHou/oR320GGt9mzjZoz40215rb+YMXSROIjb9mPBLIzu1fYM/EofMEqjXNqzrndu3
b5EVxiuHh8cKYjE3LIs28+RPxW3RpvlZEA+XJe8oQyzYuUWFbDvCWE6p9xnR0Ga062Mf+q9TZeJD
qIpDl40UCca09SDM/akQvlUILBD+ufc6e2rb118psfmuv7qvgBBm4o+ZyZjcaj8YfYlVVP8ZTxmD
ZtejZ/tbWUNJQVGN9gUdHEDYv7uv4JOney4/kUIBLdzvedrUdOnHcRGxVvxi/NtEbsnE6KeNyNAH
k4Z+bbyQqMa8dTyEKatjD/ZTJJMYKFV47OYsstYyHYbsntR1HKyMx5JuX8+JCg915+ysZUM5r9PJ
7ECujHVZgT0vUZW+TEytFR+kCed1FzUccXRKu8k1ouAt0Auju5Fti6SkSzwGDSE5rPj162p0ydPQ
Qm1eC5fIGuj42YipYq7YSi28PpqMdWFGzbzGEoiBV2G8qNczY9vrGajwZohs5y43gOFvAGCTT2xw
4JSu3e3+j70zW47b2KLsr/QP4EZiBh67UPPAKpKiSOoFIYoU5ikx4+t7gb62SUqWwv18X2xHyBSI
KiAzzzl7r12CQ9kO+tjG33vdGdZBTNWzCoKYGdfco9uGIAL3iu+kTxHe36WLbYkQ2HLsVkpKjddl
EftzSPNeZKReIKMznzqTwmuaMkbPyJVDFufA2Jhj+N3qFYw2ufOdk46xaLKAnlLJnxHchmO3a+FI
2UV/CAMocc68qAYREnUa++BRpIKYzrYTVukmAdhKd3ghgWEgHmRegCxXbEnb5RziA4hSnbmcmYpg
X0olvRgjTaB0UN2NU+YviT2ZGz3VSa4NO2NTF020EoS2cmzDl2GYbXpJBHKQyoXMUXbaIquqfuUo
gPIDR38JwVptUQvyWHSpjuPWAChQBPZCWMpTiSNra01p67G7OptQyu82+SibUuOIZOOog94jQX+n
DZnPRZHVe9cU8VJTwhgXEBjIoLCKfdJ3XtTGcA0JQKTO68dr1/XNTe8SHFTPuQBFn4E+lIaz6Fsf
Ytgk+TUd/SHNE41lD7CIlIbAuQdZBtsYrPESYEnLQBvbllVdo0ChjR/0zbUdcSKZRrVCPTWiDqHQ
wgYo3GFVk947N73K1aDaLYA7+OH+kCdbNZVMykmb2f5v2XxdNmec9D8vm3Oj/fS1eflJ32r+wT9X
TqorGu2ob+eUEoYu/NFf1ZX2H1NTERzarv5aef21cuo2y6Oj0aAy/xQe/tVoJ37sNd6PFc+lDYWg
/F802j+22bHWkGPmaIwwOexpghX67SS5bvu2yqyxP4viIgOD5dH+o+z+x1k19/emkY9eATkmBZxg
GmlraO4/rMwsnIne0pU610a8j+zPisCKcl0Trelf+u6qVldvvoTLHyOCt2L4V/H0L684/0ZvhvHa
4MgIYGl7jssWMNAYNDOClVRJ6MhFfd3Lwtl3jVleWQlcztpaW/FYcQoefHMFshZWAabLL1j6tB1A
F+JFKwyEag3vUnfCo4m3EKcGYAjchp2SfGfnechxIRYISSmgkCwxwsSiOJsV9dm2KGcDI3FWwdZI
rE09mxuRfuvroIyKjT8OuRfNJkh7tkPShpcLX4voOxNShmPS6boDUlc0gVF3VPBUYtnAT+I7lE34
LY2R2tfqr31kzoiV9G1RqJcOh6bmWLtczAwvvJt4iQjFVu7kbOrs8i8dHs8Br2c3mz5VYMQRLlCj
dPaIn4YF0Ss951KsosCgTkVrT7d2I1zKFzyH+W1RhdbWqjBNqJTgxMAozfWESLH02kwOxTkNjGND
aORVnk3mFs3etMxavXpiAH20GJgAzDqWdrQbEoYnrn+liORqnKx7NXXpPSoELtALWEst+maY4plg
KnPVm8aJJHOUmISUJ+WxwcnTtuNu1KOLmCqkftUyGsZjPw5HDIXFspkykuTN/lB34r5qtRXMDuys
8HLNFA0l6KXkKmrzS540BLswA5iSvSgS+Jol5/sEyxAOKfzmdZeIBdsQWS72HSMiwImKCNZaVra7
tu0bTLdafT23bI/kkZGn7mgHyKyu0p+N0LnhPAz+hzHWIgzlWi2zvZ9GF+gZt32Xo9vhaynm3Di6
goR2PTNzpgKx4mst6Fdum7W4Y+lCataScfI1chZo4rhHrd7Y9LJbC44ajUXGjSogXxW3GNIvmV+B
wBtqGHdp0t0MY3hjzdm3fbt0SufBIId2sE35qZwl/vQ8vuc6GF/f3UCGZu/3mbcIg8F49yKwXuWt
BatDBTpsuzugwkB9kAJbCppHP7jgzz8ZJsJ5M9sMwlxBu/PawafPWGzlTOucGo79ypXrukutV0CH
WJSOQQNwD2EycawEmemfDZBFGm+IV80ms9xMKYh7MyUaHgNtFLSMfJR9Uk+fUADgEkibqwj+VQzr
DqYqj7VP0d062syz/Uqw3qnAaQYkvodVXsN88es+Y64E0/N/m97rpqcxuPjnTe/qpfv6/PXHfuL8
U3/teLNqHvE9biQNKT5H+793PPU/jEfmwC4DMSfn/793PPqJmkU8iYVmZW5CUkb82U+EWSnI8JoJ
lMjmUYr9iw2PAfK7DYmNyCavluQIciNoafJbvN8e/DYqiV+JxnOUX/TRbjzNH/sFUMm7YdL6hRg1
SKxafmS8cIMk94m4bsWzlQmIe8jBEWIZoXuNu68T5o1CL7xBsZ44Sp/S1v08TdUdr9L3FvhNpVjz
1Md+TMushNprzZyNaSO07Fj0eu91fucSBqZf9aIKYTAKY0Gg+GfGr9NaL6jtVb/yNAws0G7NhyS1
Pwfj9MSZPvf8xN0iNr5LouYiXeMqcvyZjI/MLRnuimIgjrZr4PgydiKv4qA6MUHhGASzoeCeCcPC
9o7mZdc64RqAiQ8aKV/noXIPl9kjRHhhau5V6gTrac4EIDESrWHOVj2xjsRgKSqHFgdCmgXip+fC
jc51Anw7YB28nVDORx1hRWpZe1M1EP8Y6+g2wUuS3qfEK1cxH7MpAY+HVAYLt0j3NpT0ZdWr9VIZ
/LmYiJdO3y1TwzWXLqpo4H4T7Zr21hqBxk/S/IyRAadlEEnj1qWQYodvQa3TlbPqerpT+x7yB+Ga
FY2HqgGunMZNB0t7DOK5JAtSY8m8CBFPh2bIosFTjxuRDtup7wgJq2H20L1iUTM677UX7JvqnWGz
9ma28VLSIU5F7S46guEngxrKqnlwQr+9a/L8S5S+SN/cw0ksFqZR7wjRPgwSnqUV51scvcoqTEqG
enZ3cgXMtWTE9R6K+9EAP1Xia8jM8WulmtUdAR83QWbcqMRg9mW/a7VhM8Sxv41MX4ey4G/zOiy8
oNIPI1XjwlVKezcqI4OZzPmsdNJZWJWy7l1tI6IO1nWEBcLvd5NrJgtRlDSjgpyYVXgkXVVuogj3
AFow2jH+Wm/ZzZgxUZC0n6c0vU9N7Tvw6oy4yuoBrdER+ukdwIjHIJMX4L8R7i1nm+TTQy3hyIgi
3CImsz2AoKt8aPZZa/M0x9NDB2+KRLGvzRitMLEc3DhakirxSD5Gs/T1HtSLgHOcyjmvRN6FNVtJ
2Ro1v1pySGBNlhNC6cZ+rFw6aYiiTnSub6YQBZQO03BUho0YRy9r2y8g8W/wS69tcsc5gZ+HUhAa
Zk3aER4eFEkrB+7UQSoJ1kn+nKArazuyUOoZ4R/NzH7IUcvCBHuKs9QRBFq4PVqNxq4fUK/BLLC0
rxlsLZS+CRoCQhfUNKAl2I2frImG3VCkdNel/Ykc34NTicfJCU+pO1zrSKpVgkoWbuU+E/KyzVwC
4Cy72nVtxgPof0rjaVj5scbUwSh5odRPPMYPMCNClgXiQSLrunb1ZxcWAmqF/lL4pItktYpNI9Aw
Jvi5uUgt5CEO7msE4EOKVs+9SUhnXYTIsnZ+F4oV3WESdS33afCbr0laXXxVtp5vm/6SzALfy8bK
XcnYPJRObVwm3dngeg7za1Qu8W2Zq+RAgJsIEnIIiuIIyudJzdV9m7bjlkOFsmoS7YqwlphzC2kp
Y0ooKPDJF+I/plVLcukS9x6N64aQhxKm6oLxP7J8E9OFb8jjpBLepqkkgSBsD5sbGdBwJAtiZ00Q
fsh+KzLuMgI+QZIOsViTYizHIFjGYdZ6CC3/N0D8rxz2l1v+saj/z//Ng5f0pf5x31ff7PvoxiyK
PLZ2Tf9RoeGi2zAN+/VAMG/ufyo0jP9gi0M4j6CZCd88LPxr39eQdWCYFghsmfqZ/67SZcD5piqc
p5EcPObxJi5sepVi/vM3VWHs2LTVcze+4gWbTJukxI1R3b85C/2s9nS4kR+uguIW76FpoP41Pxwu
Kp/xozmZ8VVTxFG6LNBXwekEtuf5upasYr3Gh88M52gHbOMtgYleOvmHjjHbjSjD6xS3vGaG0bEX
ghmhqpie6rQYd9RIeCIId72W7doOck3nbstWPYqpv65H7VRNBbuMfo5ksBdxgoekm3cxUblre26j
+S00eQRVz+qAZQkyLX/YJAP9+/Y7RZ+EumSBBpQw5lxmPuNisKnERvKmrH2vTNnG7wd72ShQg2NX
Q6DRTnRHkyZHR6wZn33dtTd2aupftIy4K4WD0SYSSWitwrYqU9A9VXJPbYoLxCGXaRu4xKvsVB1m
PhMU58oa65GWPgkxbOFOSNy1XurO50mrLPx/WrqRClSljVr0OGY8onsFu0lrZs3oLwSxrGen0pQT
f38J4xre0GwjKmaALFOFpdUye0PLQZyQ7URbPTWSfYtUwrlwvVr/Yo6BXR+0kSxx2sX6TWFLc7iE
KlScKhjdgyste4/VLHhE9W3cd3ZIKmSK4NBocjDADgIZyUHN7KetQ+cZIFhfuxzDOGRZuVGuiJcy
llpJjHjawgeugmDcdZrZXblta68aPnM206n+WjNQHkbACuPgaGwN0U7B87VC8oRjmkTSG3yD+1hQ
jiLic2+Qj6gLBjaENowukqOSmndIjGVXqEu7iu4J4aZlMGXd0qpgiMNY0hg4U98O6RDtLYJKVzaj
sU3TpMAnXNgOddhpc7+j3lh6t+2NnI1koMANGGbRSc1OUZ6eiG/J1/DKr43C3DlhGy99K90WEXq8
QBeX2u1vGw43d/ienO+YLZmBJ0urH6zvRdQuzaxeJn6lfhJKuw6shojQIuFMCHjbYTI1MKGrrfK5
rpuXPJIvYzx+xpi9lHq3d4dszQKCyHzaGIM4jU63hBi8VU3tOOElDGT3JMyWUbWyTnuVPis5R+34
DRAj/dlvvmjVZW+lOgdMggwTs3s0regpnSxjZdVJvWdKGSyUfjpqmbbTA+1kle2S/f6x5OuDk8Ts
yrFXfmetCajctmKCvVyvgowE2UpUC53kqIVa5wIwHvhIdeTsadsX7vHGJOZxOURTwEwa5onRiegU
GhaZF7523aR5feqr5hBoAw8zcU5pNdCE8OkBO9l4cHmJRGEvNFcuBzKnnFKHDVfcK1MDFM++bbXg
Oq/KI/our9PcY9Z216HLRFwrV5oPECYISHUfOR/GgGW8VhYcGaW4SpTkS5GoX0rg1lGdQBZz9nGr
XkOMg/GG0zNNTxChvSqtxsNk28wcOHw48MGrxN6289FcMn0NAUSPU793imncVVOe74kvg+IMaksh
S5sNmURPc9CTTeWWG7/GvjeNSrX+9cr7E7+D6kC+ePVx4w7g3+/X93BUs3q0UvD7FbVFl7ojxrox
AU3fpccm0/ul3ZHlVIQZ04HpRS2r+rqqEvHJmRwqrGG4aWV8FAM6Ude+F0Ozoc/1Pad9Bg0eFynh
uWQdj2JdTDzTqR+RGWTWXs/gBQkuKjzbabYErjwRQtd6pJZ/1vBgrHCzUQrBSV+kuddXXj3s1JJG
U+PnGzWWG43U1VQrNnVmP49pdouped+SKzDV6Z7G1dEui6NTa+6m6UfyNcZoqw2h6dVkxVo+QR2h
EW8Cdr9lLeobY0SvW4bWXoQu77UeCAzOKicqOdzFUWeQKIDMQRu1sxFNOa45C9dFNAN8pquwjnc0
XjYmsuBllHJAzBOqKnqpTCiCNXKtlRmUR+j3iGhz7Ryl/SFtsy37Gj7nkhy1YqxBaMtzEqc3WNfm
TmOXLi1QMJ5eMtSQ8hLpdbfMJoQxEiyiMRqYHoboq0u4W9TxMA08oA5CjySp5tyrDS2zOT3+Mc7G
ZaYTFUs4fc86pNcFZad9FJXosE0oz75qgZWkcrc4l8O/ydQdEl7WsuYY2daDJtK1EPCqSeZ5HDNN
9eJ6TNBiBmd9MtUlLOA51jB2tnS52s8F/MUDAl9JtMRvaS0fW+4cRCwk8kRnzhJ7YyYRvDuIQOZF
e5kRQdVGSz3eEyWx+PXL8KHljoHIZjiA1gfIFZSRV2zVm6OObmHvcdwguEqteKFYZzjl26i8kei4
Y5l6kQW2Lv5N2532zrujDzfy4arzfb+5alsmTWnoinISY36LM4lWCf/BrvjAFHNchFjzvcYx7y1f
p8ohbrMbgO6meT/nd0WFl8vpoVDsI71o4eEjX6durz45oWEvMxHfWU7WL4NkPNip8Wj5yUCtpVst
T1NerNrJzldOqYDdKnG52vk47trB1p+KPG7WiLX0VRRF31Ke1VUlrHDJCjwuG4CjHqPj29ZIJwQt
4OqDTttlAaiEsXlG/LBlU/pUS7m2EKovNJqdOlg8BFWcUNI+zzfj1AqPCQpaid5kVBgNN1qY4xeK
iG3XEdKTynPgof9e1b1GFRTtpKGALTI+DROWa5Hszaagsz5jgiNfRyfaRMR9teYumeIDCqhlPvra
Uk8FBmo/YZUV990cGBDF2ckJh00u+1XnTzzBYpU0QYZitIQ5lTnQI2NnKVP/VILZAzq8VYsZBRYM
t6FFDthQKp/ahhROXW+EN9nNRikjek5t8dUKqpMU2XVVQrhuhmZRq/vOJMGoM/WtjYhmWarqXT6G
28En+KKT7RVtc4NsP/jT0nih0qWIJH29Mo1NUBpHm6L+14/4Kyzjb3/Ij0/bfBB/87T1MD46DWL1
KT7ml+BKWVeH6nO/mXbm1jo6bD3eN3oyiHFO+Zf+D43+P4605g7mm1P+nxe3kdfSrbRV98OESYX3
lScQnE/l0lzkR80r1zAC1YNyb6/FStydFe94361i5IJf+Ud6NR7FYh+tfVBXi+w3v837wuaPX0YX
HC8xG1JGmfN7+eaTGEWPlkuNw6tQXKCSLyJxL7s/ut3/eMfv16wfr/FhTDjJrFXCEPRoUb0EcuuO
17/+On96D3iKACKhF0HK8f4essGaEJtVbN7KpXqdNHHm/GOF+p8fzODT+ueO/X+x1Thrfqze55/8
q2uvzoJelL4gDS22Jr7iN3NqXbUtfA1Yjd8pfJhTM0jk+XBtUNIm+9nf1TvUaprtlNqze0sV/656
18z3jwh/0yvH34RiRRdh/lXePyIuhx0rcBCX50NUrNXRkkuppdoyHfL7SOoOmb80umoNFGGa2LgY
zWZXmer3Dv4w0Pis3/fYyRbQm6Hgi3YbFMHK5PMg8o/JbpG38bolBCW246feB8muYuTiBJPRiWy6
fGWTEb9QytG9hFV2Z0qHPHpsDDNa4Tgm410QoIcV0b0f65+gHednWwU1UQxYC9rIDlZiUIFapOG9
bwQJgkL3GujxQBmtvaiKpBTSYI7mwEfRERzichjXYshXSj2gFu7Pw8wrTZXqqgMqg3JlY85E0w60
aWbPXD5Ec3IsTrUJ/TRo9E0i3JBGYP1tnAmpRRB0K3umpurgU+nS3xpkxYUDXFXXoPKXMtp1IFfV
mawIvuSqCypyi6Zg578iWodsG87Q1iFpQ2JIkqVrTjf+K9h1RrzaM+w1jaBKZvBf3TLaA5ypSJ9K
VxOE2HhGxUYzNBby66afMbLVDJRVZrSsOkNmQXysW6iz+oyf1UEDwrKkwwuZNqazW9TPGrxakPYr
+F4Df9UcFqjWX8M2N7x6xtwa8G5jbDQLfVZd4lSGLdJlDAvB49JZ2DrwcrFqFZcqU0/VjNIVM1Q3
mvG6+CO1zaRpn4wZvZt0pCnB4oX15e5BTm8TWq7Uzz7BTLT/HcDotHgOiI8uPWTfJhUoL/N1MSN/
SYG5dw0gwPmMA/ZnFI4LIXiCFDxW44MGORgS8xdjRglnenfTzXBhFcowVx4wrKQvaI/Vcz6jiCt1
vFAM67RiwpM744rRmT4Rt0zlIFVtR+yO9SVUMntV2ZRiqzFH5SOmtTlLGiRhk1dBp9j7chY8DK/a
B/tVB6GXWHZNy4Ex7fRs6joDARsIyrBtdH89mpRJui8fXaMniXzMUSyUXAJdWNkmW9nDPmpNPmIn
8DdKFk53ekkijKGNPUd8+9aprEOjji9pWCVLNTFvUp+WhjV1K7oQV7OhXMW7skosMqkZXTzHU+nu
msJ+HuYoLd2Z6qWJKwmeS33dwEDiRTz56AaWtuzLPW0ZoG+2sqgSYxUU09zqdtqFOoz8xNCR4NkH
4zpW/e9pSW62HMGLZI04d2FbeHijoHVOGKy0XKwmYVVbAraWCiGMhIzu+1irl4SbPsblRKCq1TTH
ENLQSe+l+SKEn3wqBLzJtHNGZY64hSPyuij/b3fS2Ej+eXc6veTPxbco/4mIav7BvzYnjS4xkbGO
ZgBdeL85GXOiIUAFElCYOL8Fu81zaF5ffHmvjMW3mxOOQc5L4r+8t38xT+bdeH8YROBk4gvGlIhY
y4XIor/fmGxMGA4qTuWsKnh+mwiSvTG9+D1NwsRMLYQ3Yk1DCKp5gEmYOA9548pMudbsTtFBJhS5
fRMQfeZgmhhJNalVeU/SmT1+MxWnwd3lz/hz9N4xmSxscM4Eop7nrwZ0vGGnlNhq0YrDaRxWXam4
a9aHh7xMxLegQlteaUO5Lma9ed+ifO9mDXpT8P/qsy69TTT5hRwBtOqzan0CZLLvc3sfxyDRejSn
JORQtyB2b7X2CTicWHSzDh6ULArPGROLRH6ctfIZttnQNborZ9bRZzIOVmRQQOQeR2Qbs95eMrzD
4sGLPgJTchDELrRZnz+x6JBCUV9iYoQJimrSR0a3462q3kdGHSF7R6xTBeESFvN1PDU5sir1NIqY
aWYfnXuSG2uQ9hZKL0IGEds4s5fAnl0FDWCGff7qNJg9B2SviVX9akSQvuwXzuxO6EqarXwtyhnQ
Ghs6Joa4KXSvIRm2mv0NSVcM19PsechrI7kesEEUsx/CnZ0R/qtJIpmmaK0oSxw6np6DAotnO4Wc
jRXTq8diGAxnSdwezos4hFZJqEbp35pcdtO95rzwYOe7XHbdJqvxRPiW4pwiA/fmonH9UwJMyclP
atX612obPqahSWpubn0NJA2SHoTECurgY6I2wcpvyu/CzTKvUYIjCzBwuXg8p7Sg4NZl38PJXFKZ
NucRI8o8z7Y9QzoJqcoJ3c/O2smusvdg/FWvi8fbMMZGoGXZxgj5hyvJihvM1kEU1Wts623Z8ws0
WkvehOx6zTh1ZqnsR93GCYNY92K+8gclJSuan8HUPa3G+VjGaXMEjklgJQ/aGcWqtZaVWR0soyiW
SlGQ0Ei9TG+t3eCs/TJzhRuOUNCIhnrfD+yQaReoa9PwnSs8Xmslc581pSa2Kbsu2vYOKdypLm1a
K5pSXo1KNO40S87Zk9NWMeEzk2SQfhKx70Ovf2mU4RCl9KAM+ziGhbuy43BTDePKIoeOez47Y340
s+wLORsHU42OWUiKWdSa/il3CCbMrJITTBjchuMQgE1EvRR326TiS3JCduEeeZ8S2/5CS5yvQdvz
BlrRmS0LDF1OuaM0XYbPnkhwK90hv1g5Un7NGN/3NGgxYHy37IilJVvLyV6D2vJEB8Y40ABywzYO
y3hn4/Z1+8HrVabrYUMrgqC3OycVZ81o78DQOUSGuIVFrqpr7X1n+l5W6o05tTsb9paeZSurIZBK
hMPBVBIPkfzX0NI3luxIyqCvHZvOpU7yG6fQnt2EdzhL9ZfGHW8MhUjmrCo54kxYPg2v5Dumh4at
isYjzUJyLkRJvzT7hk75Uz8/j2oS72QbXqZiOGfgC/GXcdIsiMcoiCDg8qkprrN8IJJ49DTayrnf
LhVO3OGkbOC6bW36NlkJELEmFcCc27GoBS2n9VKl3Co4nZLQXiEVOeelcFa5KDYYrWl+tcFFazDe
dMF24FSRFcqRWT1z6egrvVYiUgav4hXBAeH5Ul3Ckff8BjlH+lL47Q3x0jyRYjsKoIF9/mBWdF0n
3L8G14DHbfgkL4OaqhtrbXTm0gyGG2Nw51G+xkkQ4w3B2psMdgDwBp5An5OYLYjUyb6PlL6scGtC
xrw6dJaWgyUsqMOdTnoCrKcHoTYEpzu3llU+OCGykG68bjMABOVLJUCNoZJf2Hq0hlOzrv1xmaDl
DeG3BXp4rYOgKTr9RvNJs1WahSYFU3SblBexVdxu69TKWoTpbUwic4PQRfKb2tDZFpZZrnwF47Bo
17yKV7XrrFW93us+eT9DtQpKPrAh5/RV+TmWdO1b3xYP/FXE3ELOHWujJOIshHET9h4W9691XkM5
Vw7Ab3aTYjMVtMNFJxOkkGwSYYneiWhbaOWWvdGa7j5r8y8NdsURXQtMEoT/2AaLRm5zx9yJISuo
8lza6N1DL8V9IeObQlFJbRxIdG/57NxVkDdbuzF5Om1Ywd01kSmHktZ3p7S3pBVtncE/+3OIm5Ht
O189Uec4i7yFkZeOF9g4O16wRdk717F0jzjKHkuLkYakv6W5zp0vUWHI+pzX5g3mO7HAan7bgvju
SpKCJCdJ9IxHUjEwPldi0ZPHK+eFaioexqQ5aNLclCVwS/D3MYKwup8r8pxYxvxOluNe1YqDopEG
Tj68/4SRJb2tEfZ7k9bsJQ3BqUdEhjlVUeJn0k3v4iYjOZH+/QIZxaPBdFADVxxT6CaR+mxlANWb
6iGR4Q7I3Jn1FgOFTEgoqA/mNPf+UjvxJqE+hmZdrl09+ZTJBgLAkGwSXb3EiRNTuQKjR762pvDf
+onl9ZqSraKp8DpG23bQk/c2anO0HOF6+WUIrE3sD/shH59LhVEoiewNSAPc8XTC/JpM285Gyxus
ZKjkHlGyzJRbL0vZJPDPbjvFee46pEiR2EBXWEdiWAGKZ/2pSfUMhmk9ZPlhbMinacxPZCUzwm4I
j6srkCWJR2i7ss/RZZeC9BGqDqkW1NHNaVL6x1qW35hvMNmpKdfS4dQZUPIzwfb35kj7E1nA+9bF
LIE3aRVqqB7BU7g4Q96fEJteStlGuXIWGcG9yaJIbhRCpH59kXls8KYh+t+LWHDwUTI5KCreXyRS
MmER+62cB+dJEn7bPg6EvOhEE4W/udLPDrx0Pv+60ocBRuEXozr5XEkDIGyMi9JGGDjtCutz3H6J
Cus3rd6ffnq8TQgq6GMC63p/Y9T+reOnRXDplC9Ne6iCb3n67def3c/uiNMyh2Uuo+PVeH8J38Km
6o5leIFyG/ebljC0lFT6LNhEsCC05je4yJ/cEalrFC04IwwNj/z7y835z9oomugCfX4R6Rh8gk2Z
/OaePrRs5+fh3UU+jGNqX2lMy+cisZT0DI6xGy5//an97jbmP3/TeEb9iKYSo/BFlidCsLyk+EQz
5jcX+TDL+uE2Pnw1ZQK+vsvq6DIohEWZhBldyF5kgXs06e3UZ62tf3PFn90WznjsMFAHTPTL728r
iRzad7EaXezquhKBR+fN9r//+48OX6RF4B/PAdi/99fwTV2xnE7GF7ogq8zCe1x4fXr364v87KOD
NeiaBvCS2Xvz/iJFH9p2FIECluVjbh1DKsWYxcD1b+P2YOAr6/3ftPHnZ+rDGsQS9/cVP3xZjPiQ
BKgj+fIDw6L6HnDEbxYD9f23M3tFTZinSDrQk9GR/jg9rQsD0+KgZpf4SCzOjs3zBBxgZV6HN6YH
E3sN43b968/x/SVfl+93d/VhvYPXkw348OJLZzEDJNpMc1kUiu2vr/Lzz87gI2HnNK3X/vebt8ma
CIVsGHRe/Mr1NKLEneY3n9386X/8dgx1ftpwXNhkoLx/HkqCHtQRD/mFbtpidDROm18iIyDYJ/7N
vfzsE3t7pQ8LHLPVQjJQiC+q+RI616Z/W02/Wd5+fglSNVQXTSFW4vc3E2FRcYwpSC55fjYZvg1I
lbXW+s1W97NXiIftr6t8+OoT2YUNitLkEiXfUgWtg7KSBk3W1kuai5JsUvM339EPt4VrArieIVS2
ItUwPhwV4OnYxOyS69d0m0rCYltV082/fNA+XII229tlOweHrlthlV76KV+oSrAciYn8/7kE9D5k
eKpLn+39JeJhyJSUSutSp9+UaWf10W8u8MOjzD0A7iJWB0Ohzejz/QVYOu1enU13nPOy1vTCeBcx
Msjdl9cb+V9X1vxlV/YT4QQE3vw4MJx/7E1PliVYzA8pbVcmz28Ghvp/LA0iyYyBxK7zp9aXpA1O
PCw9qqHBlAHH9ve0EL4Az71ArQJ6cu7L/huTj/3qW/17rWNaSHVDwLggRpwscUaG7x8QJWekXFV1
dsnV0gBD9dqgGttI0K3SX1tXw9BhiUjt8htZpF+mYgo3g5LfEjZFqqn9NHbwF8s2oIlH4GOJKAPt
SrpsDfsKiV4FSB1VblGSLgGnv6PWH+HClxaWvRI1guIjb2Ht8GK/ONdoSRQLpYXp9s9GqRSrkPia
1iWeunCiw2BMTL3c+KSU1UWKApx9qKPHaqyOuG7+DFjrs1LQ+5WtfOrI1ZqyBLuK5jwpg7oO+4bS
fwi2Nuy5nDxUgCGhj3m/f+wd5S5tRkQliXqrm81DAA50Q36bA7pEt84B6/SKQ2SDeSaRK3UMvhJc
gBbNRGfvwBCJIu1cGASfh5N2i6WzWoRtdE0TeJ8J88Voso0uqeqN6MAIKPGkQoQPDkjpNvzf7jYT
8qHVo10x4COkvfhQ1NaDGz/pPZmYhv6tdt1vUqvPcoruzWL4lhhOttR0MS3J1bso/LILQE7bLIwU
WrIkWkwKtiqCbG/rSL9qS+VqIh8XtBpr/6jhzTIrJ9vFKosCZD1aYMK4zM2+Q1X7wcJUmG6CXDjE
oRVsYqW11lWQwr1rxcqphzurVvYIblAK2w06my5e0EU9l6PhemMCjkmWubYZYdM7TBKXMmpJC8bR
sEnsUC5jkXUrq/OJ82jpkeM+Jsdh1LYy6D/7jr1Oo/ZiiRabNaQ/PK7VRhpYMakRcE8kO80M8C41
6E+hq40LS8hdpiAqlhrZZ7xovtcX3QHfHIktE9kRjXyKFXljdealD8QuiO3Bs7R4Y8TFXdYYW3eG
/iSTddfE1UJkwWcGli8ceQk/mMgXMVvLoI+PaNhpp4c8rsploJV79p57peVAndb9neJSR/OjDHEZ
PK/0LrkdFW1cUXkic1WL71mNaTMqypMxuufE+H/sncly3Ma6rd/lzuFA3wzupFA9WSz2FDVBkBSJ
HploE8DTnw/UkS1tb/uG79iDE3HC2hSpIpD5N2t9i+F7N43myhfqsh8HtRl9zMCeKmPelcZnDJEy
VVt8a11P1LDVjC9dJLM1e1ViTxuYqFaePfX52ivSB5bABU9gijraIDfKHvBzdEiUKsYjK0c1cj8a
ZhRaQr+YpDrZlYbJOEtJa9K0Gza9CQvRel57ZnmVVmaFCY54qNSymnCM52XW+JKPNZwGS7+zraM2
feQ6hFEtbtB+txtrGjPisbyNb4tHzIwf3NaEInv2RzPrz0EbXBKSdSWn6c6EAr7C45ps3ClBB1vW
t0nfvhQozsgVQRk+H+0+KMLGQNHLs5dhA7TDxp8+zLb5Gmv9hRLdTSG1Uzdk+RbW83rOx5MVEF9s
6KAynGoZg/e4kHtAOaixug9J7D1UDLVIH7wXRIpfsWSQICg0IBtiBFymfPdI2hCuGzZIBEvYXzh1
kUZODYKkwn3roLbgMzbTNQfyRas1Ixulvt8m83DsIlhgZhPfusn4kqUOgTN2DsKvbouNjNnNtzbc
NVqWOklnAKrjXefUmAtZ6xY4C9Z1npqbqnIaXjrBK+G7p4J0kY0YoytRWMT89tGInTK+A6LGHiW4
Q3i+t0YcEm61YFmn4hZw0FUcG/U27vziS6NgdEUKKbvumUTDLi+2kz2Rh8dybFD5lmPVDmMzeR0r
wbrNTreDqo4c6LeTLYZ9TfmO7r0HVgUUJF2mc8hcdomexsysLEAdLo2rXx2TyLUJBykukcHfpI5d
rcwMuxuaVZZ0jbGp4oKvHYY7x0UoOlf9K6HY/SqACrMyKzPB4FdrYTxrH4TFcV8kTboDlH0D+vSV
NJZ4VReeT8yxrzE9Re+H5r+60sGVrBpRfzF8Ask6f2IwPGGaJMGQNBqQePjPzJ0jK32bpTqZip14
7YP0SUgeJBVVW2ZfDdgqH+98CzBSWVC2OuBkW0Ko+EyHFAacpfZBbCOISAg8J+6z4FMaHpi03iju
xLDLfMEH02bMo+GOFdrE4+Z7OcsZ/ptfYJKU2qzWuZ2dJg0WAXwSBVcZ+JuWuw9giXcN8z1HONdZ
LN9H4oXZTmZfWKMTct5oiyq3ujQst77ynPnE/Q/9xqv2umEcOqA6KA3MfpP7uviCebs4tIuJ1uTF
LyrrSZvsM/Thb6outkGUPXDZ6xeQz/DO+cGhTeMzdOD7YM73lsas1iOMEu6n6FeTrfY02oiVJybv
g01KEa502CzeWzoKbU2IDchAIeftJPxbIyrrDRg1GwQDwhspS9Q/RR8d9GZ6cTUehg5zBMJk/36s
PBimkXZM4/gFRBaqVGg5YyZ3ohZ8vSevRY41XQR6vIHk9iaz0d6yGX62dag7We1e6737KGwXRNZi
Oo2tj0xXHmeswb4KPvzGH6tk63pFz6KoXbyaE49fxkLFSCccjLPx7LbYR+ycYC7JL7bROLWTycL7
5qHFcLXsRa/MU54i4+jSCBH/IFFY46uzuwbRKllaveVkIZyhfRZDQk59MlP0DsJybeJnRMZN7Ffg
M1bWRpzCcbMdgDCSkzcMa8FeQeQ0D5PmPqENN1ZxTOhVWWv3SaMemgBAXZUCDlPFJdts8Ds9vWzc
CkRFJDR12Bw3EZlN/RLeVOrBg02aU0wwVkhe+BLRqvVI03mfLNKfxhhmGCHuB43KiReSiChltq9E
tl6PJvf5EiKFFmpfu7rCbpy+K2Q6mnQ/XF2715CUrL0liioP8g9vUeQgGXsbSKsKuMmhRjpv7eDt
sEI364pkq6iyMMTOjAFHN3+KyxKc0Eh0j9+DJMSjEkevOjlZFAaYkm0NEFufHaXToLrvs+wKGfMh
WoK2SMR+jjWHEbfK7o0GkoTstVuP1F92qeJgB+pppOZiuT8jdGJZsKmXWK/JAbNWLlFf9RL65S/x
X4IcMB8tjO9P+JqWiDDeuw/XhEfFMwMKLbe2+tB/kcOCDGwMeIVEjfEsnCw37TaVkzVs+eWduwST
OZ5BLPASVkY6xGlc4ssacswMv3tDYt+GBgln9RJ1Vvb6w1ykx3Eq7s0lDE2RiiY8/XUY0HlhpLMA
QBKdJshQk4CvqiVUTZ/ajuOQoLXOzd4DamOCZpEOkcU2l80R2T8L2GY+mGb1BcD7uiPATS5Jbi1V
npdz9CVLylsSKCBLS/JbTQScThQchNuaM3h8tkpqviUxLiU6rmdjHhEll+TVS0S0XNb1ZLjWoGvJ
nIsJn4uQ760Kq96z/bkdiacbHWxvEYF1Y4t7zg4OAUF2NTOXbgm2Yzqymiyo60TeQVe6BGZyABaw
bCMH89hmxoR1a4nKK6rZ/TJ9BujVmjPwHxzmQzjbSC532H7/24N+xyv9bQ96mw7vTZt+o2P/z/hV
66cudIlhob0zP9lKDM7+aEIXOyo0CQAPsMEXRO3vfaiFZIg2FKWrgWHEsn72nBLQwjiBxFSXGaMF
peKf9KGfI9af21CPZcLibYU1QUOM9/XXNjQxK5aOvWWeuOFr6V1q3K28XYGtt6W+DuwsPwe9aeXr
BEpLz1a5n5G2ThSVU5c6Z/b3xbkXSPZUOWoHx6msU59rRKOabXWBw7q8m6xKnfvRlpd09OKNkAR1
NEuV39mGai5skQVV2I3eO0whey9sP9riOlqcCoiJviY6vF1EHwFGbCVXdlDsctNQ67mowMENLoBU
K51vzdZNezazFef6RGGu+8Fqli4ZdWZmrgCh0QckXn5dln10b7JouKU3K5I7PXPyuN0VnlHPhAIk
QHUR6voWXE6vouFY2T0nF355wzY4xifli+mFlfhw0zSGr/SVwFqKaA/5whWL72xTOmmdPWjZ7Czo
htzz6KBcOjbVWFO5cgYGmnnfWwd7AIOHphNT1gwigFWq30m8IZXDZTE0gXMxSKt5wRyHVLTEDk+r
p7fIX+oBR9SUVpZF4jSGqClhnrFGang7G1wUe3PALCS87K3LiuQosbJQzqDLOvhw24dbHBfGdmqc
iuMk4cFUpzIopkrb/XsifGfPmJ8fxHdbwvqle/nfV//qpXz/v//n9N68vX/783Fg8lW/D6XQ/Dlo
/pw/pOq/q9hhz9hYrwC/wKX+OQEWFbvLfhYUGkA1yuLFbPKDPeP+5tl4xgPmVYSq6iSe/AOxoPm5
rPz5QHD4rbvsMReYjYlb/j8mo5ZmotCp8/xs6FRix6BLpR6mQ2lrT9iIPaoftymnsK+zGkI+FTh2
b9wX+/Fw0KNsV/EKJktH2PmPaI3kSqbDPUFxzYU+FiL5EpEMtnI78MQTZ2ZYttGZhKZs7cCF3EvT
wfylyluRT+dRKwYmHeZLxHg1hIt4IXXIH+7I0RA1j4zCdsTnzdveHx9nXX1zpXcrLcFfABB/H4/O
duh9Ad4ruIHvgMq+MTdlVqJsIhprI1WXP0TUaPD46RL1CavqaJx9Ed2oEpK+O4F4hXNDcHvj7wdX
8hrmlOuu+WxLDKVKTP1myIDSClEPG1Zc2V5aJcZnHNyhIyJ3U9bJl55UmHXlyHwXk0bFmaQbWwvT
6arXLKiWyu2SPaH1CDNqLONA0TwNY3uhFXuAK3JDP+PsWsMoLsCLx7de541P7tAs6EUi29qREzj1
TTOMjdS4mibkgKNtXnMMEgjVkl3p1owkaG7bbSJKAyVLybc2M59ow7rbV6ZFUHbSYEIcDGR8hIq2
x8xooGf0nXXhywY9QhlMbczPUNXp0fY01zgEOXrHralyUONebrwatWWve0B2Xp1lpwRsCThcaidg
JQmw4yXOcKs75Y0N9FeF4ySggDf5eyH6p7rNL4Wux+vSU7uiy/MQFwfMNe3U4romnzddO7KgMqqO
0myeTS2/zBTu+dos7604UZsu8d9sppJmvNDcxr6D2c0572QTTb5lDRYAayfJ5hP012qlk2iRywUS
Zg8RWsvk0JcRfv4ILczIRb0p5/htHlkGRLoQSECYrAoYyMxFK9TmjfOGHrJZObjiONe7dm0l46Y3
Oip4/BVjN66J93ZQbw0ZKcQISpkgXJEnVoJmccQeMHzK1RSDFOJ/mfH3JgiAPNb6AGUIySqcIA/9
2R4INk2HtT7qdKMK11zjkL8lMYDrenfhpuMQog00N2nBTEovza/uaOSraBJ3lNtIayYaFWBIHjJ0
lqkphnR0ycGq9bz3Moq/FcIvQEIVdNUTzlvWbT1DHJ4BJJp674V9O5UbYaBFREYTbH0efWbsBHXq
TQdZ3ulYMGrIFBUWP0/kR0Ze4v7f++Pz/nCo8f5aa/7cv778+fZYvub328NAMR4se2XE3LjQfl5p
GNwRRItTNlKi/Ew5tgL+JLDx8usk7bksvP64PfzfAsNHZ8YfoQL8h9Uk8nTKxV9uD7a23F02K0KU
CQaWql9Wd0VHZN8oRv3cZeJLFFTOzs0t7cLU+iXk2ZA3jkB2jC0muFpOG1JoUKN3YIkaQldBGTMc
TLkfL5tFmmb7OYw+5e4GhRbOH+WpmbVQDmDIOv/NgHy4ppDc47GN1rOrDkHkb1NP6muofDsQRQXr
tomMX2U/qKrZ22lS3YO26AH0yzeXdGDRy4fGQANol1a6wlT6ViD8XouWYUqt1H7kpGdctvCEQMMg
47MZ11vuReSqYNN94oeUFmHRAElUwCaaYBR5ffwWlb7aEpkD73gCZORXBBPXQrvtCr+4DjpcYOUC
PiosdGbRREpzlDLYizUa1yqarvE9NZsGdlILQylx6it/gSrJJP+SmtZ9JwK51uAuydwBwDTHDw3u
r7RuD73LlKecjT0L+m/6Am9Cyb3PoTlVenZqubpKKE/ZHNwDDmEqvACgGlO/lx5F8swvoUtkFxYL
LsrsiOjCqB62kKR8EBOLM9hY1aQSKFu/9hfsVBKlN2nAGEkrFVadadJJPKiQdhMuoLvVlT+nF8Mk
4oOVtbe9i4p4pE8lvI+ZhUfgYeYW3BmyoAQG8wJXE+d/RVIS+42uaHM8UQ26var1z4Epp10B03Q1
uDBZMKGRWNi8m/UA72r24httmT/PqfMWQG++qifzowCK5cLUF/o6yRZUXNIQElA1nJO5E687p8y3
VVHJY5yLc8IZH+qFf1ZssULXDRiFT+wPctvCWSyOfWNeSSHB4VgzUqUUSxouZHbTjrbLRmYxjMW+
ujJ5zHMW7w3y3nrxWM8mGro25sMtqsUK0M6PHvp96FivJfaknrLoyGLgxvDlh51Mmx63dF+TN17l
bhPqXQNHCsyBdMvjiOTajq3zZORn2+qXJDAmNbrInnQVPTgQbfYd6mkS070HTmmHH9u8jKQJ6MZn
mVHXpC72un5bTt1RV+muzrPblIBtty+eld68OgFpxkYO325ibOc3eb9uXNUQRV8xDeXDdWztCJXa
3rk6l2IfwK2o4gVvYLz5JhLjtpuepIWafTDkViI6XpFcV6+ncTjk0YyJvdKvVKFeEz7rjUvGZ1i5
aQ03UH6xKnkKRMskXmyzhFm2b0Zvna62XrOsPAqYFAD3RJgjChpZdIUTOeLQa51vnXLgkpgj/Ifs
so4Yg6WyzMPcNHfkt331s/qiLKsHI58fDa294efD7bB4ClVwakbQH/zA63ge1Dow8pNfU9f1s34L
tuzr1AXyHBM+BPpWG49aPmkHUSqGcMyaSTi4s3vtPZH5re9WTihLhuYr24raQ+TxtwB7ISPJszdN
VMMjtLTiUJbmTaaz6fHpyMPaaOeVJlCzloKHeGKEjbDcO2cCwSkZ0MUaZwYLt3i8yUyEtJGjkyYF
5/Tfe/Z7n8Yc46/v2RPsjbc/X7QmX/TjojWWOAEfUefSArHx549+atO4S00EazjBlxHM72Mb5APo
lgBmfLcaL7Oe/+3S+BOuWQY9Fn26b+oMiP5Bl7akGv16zdpLg0Zyr2Hyd5Hc/es1W4va7vwkS67r
Ht/Dvv6E9jve2YAGT1kZfxL98+94fyLO9QDm1ML9x53aNVv/Mw9AfWYDKL/dQ8C3ohcoO5m+UUTH
cl9bdhsdDaw1xoZ1kRZfw+VNS4J07YTptQHnEUXT7DCADYs2iLievMpjPjxMrFSQiyOtmFb4G3H7
Zk1aJ3tP9UxIi8xhizpCr9rXcRNkJAuxJnFrVTS8bEvCTY/2wdvEbFrA5vvuWp87XjQnDbp/RxTf
WXkmz+PfPfr/1cnI1/z+5Hu/Ic6mp3ZM7COfj/ePJ5+XwkUxoyNdcdHVLIXpD0gedkXKUfabf4Qf
/hhQeJ8x1FDcKUJh5f0zm70V8Ob9+uwTQU0BDKvcc6laveXPf5IhtjPivR59wFVsVfMlAXa6ZHvm
M5iHzUo227yaox6wjma6SbH2u8gTWPHKtt/0afZpPdKLk78IbTCaxHyPOGxJk7AxkvS0qJsYChkG
vhnEM21+hyXnSfWlJtezHrNnYMOhBfLQ2g2Mz2Bw3PGmzzyTtZ4m4i3kag3EdPVkQjanzbT2XeXB
NW2Hjnkg1U+TkkbTx1q7jXr9PmMF1lQu9LkSSNmk31YT/aVhsJgQkbyQoryo6ujSUOPjRAEG8k5E
KzZ/u14eCmqI1RTTnaVulobYwAmzGD26Mh+PQU9huBrG+an0gmsW9f2qIOyIJVy+bDuWcSLJ0qr0
j8te1Fxa17QfvnT431akA5FQrTu4j6brVlTTVrkDZKM+gJky1F1oefO4zjt8JoB0COtzKGN93dyA
NpvWALrge/vDN80eLwqNFXaPkzEsI+PbOErB/qHdAv2DEMuiiIxoQKemDEmCeoT/V4ZZrS7bnipq
SOlHZ2Hdaba+rb3e3EY5uM9FWhCRwnhAZRuvRltcZaa4JUcDJigLRPgxCZv+1eCT2c0Wb+qLVxsB
xqpJ0CpZeEOLfF1gnA6Jlj7aUblpJItpFt3MXroxWzWFyLf+5GlbzepOJVDlbV4s2C0wdEYcP/UV
kKAcoPDOgu2+1tz4muMMg3/QhUbdHYceWU6tN0+xwJY4584Fw/K7Lh43RCQO4OMMCLTZbVwNl6lj
rXMvXczcc7qJHLZLEnHXvsmjJNTH4JqZAQqP2noXhdHuDYkmy6nElWMQuJ1Y5bay8geEuo8lEhoh
67OWSOxMQW6u7IKz1S+ybVaUj8rz1wtgsdetZ132Yu0xVBpUcTfmzqGKa9Q8i+ct8RGvT2028KCb
yYWU+MusYCaoRamnivtwnZnd0xipR8Nu7+2W8Q6rsh0Bv+esdZDQUAA53euIWR1UI8af3ssJL88Z
R/tGCYu5v4syOhyRGT2+qvgQt3a8r7ua3mB+xrH3lURIGL0pshCIuzVpZbYR2nr/MKT42YwcTqJw
k6OmiSPLk5dq9puVHtdmaArjjm50C2v5Xrb6DgHAtdJTkNmpdQdp21/7CYgNa9Su4sQ+0SJqoZWn
2zEt8O961Y6Itpcynsc9YW77fmA9qiU+CcdaXuE8BM/bddVzVtUDnw/Tp2Kc/YtAn3zKRkw/+tws
UaLbUnk8pGZhb5D9uSsg9MSMTmfDsPHnkdIgmvpKet4DXrTk2JQW+2tjfM/T4Daz2bovRTGyrHEC
Sz99qIGKfRgg00HLtUMU2aQttAt6zwNHFRWQpqOcR4fJ8Co32PMKmbL9A/Ef2oCN83h8cZOu2nRu
VW1GNzj1Tn0yNPsdpgcL1pGYnAazceh03hayzUej7AvoF/tpFs+VF8O+TuqDZwGDlAjS9KYetv6o
IU7oXSyDpn2ISdlZkTmK1MrMTgaIPvIzUZ9lF9BNMaORcl9kh6Sr76Kk/uhGoAmVai4nEZ1dTd5L
yhd0jswodYxhACw595qUnoomY+OJXu2yXDxVopvo3+nJixbFYESKlwJXyDxaPQZtx6RRENQzVDhc
CYZ7Hq3O4nUcCU/tdZoC0OfBaAJunJInU72rhh0MoYrppprsi8Qtn8eJT9QImC6ozgScKB5RSyxb
fu3RtFGGx52D59Kjt7Sw87WC/tL+Ojf6x2DwMMjKvZcNvzBYT9baKYipMOIK9njpXSOW2hArRnMc
Kw2G6XCFa/WWfyom9+Q8E+C2dewFezVo9N6Fd4n01FojpzmQZouVNvLHg62cO1NGXxIPVl5TpO+l
Qj8S2Qr2C9LofZsPD1YF1w530Iyd9jMv998G4XuDwOTsr6ukc/MCT/i/dAh81U91Er9Wmi8LJJTx
ua35vU7yf2Mh6JBZ4/qOY7vM237USdZvuLhcSETM6OgIfl3ssu91+T/+Wgfb1T+Le17akF/qJMaA
y+KY1TIPpWX4Sw/xU51Uu0RXKU+PGKcbycaai5zsxyW+XUNYeFF5LeI9bYl3t7PkmEbTMzqZOWQW
9GYtO0RNOcrbU0IhG60tPTvosiawKUuzOKSyEo/ATFlFgrxgLVktG0qytlhWqmVvaUOffCfXNyID
cllpOkQ+hdXIVgLi+haJblZvmPEAoSkae9jWTYbnm0uXZBXAvu0n4jdPJbjfbCH/jqRdaXDhYBlx
6DhpNKwSQMGRjx7CXa42zcqCLX570KwTIVjMeo5Fb5wlyOHW0U8zCGLDmi8TkMQ4JC5tURwMUMVj
Gs2h4zZMBQw4xqId+rXZ2smlRPmkS+06gyJ+KyP/ols4yNCdqjAOWuOyagU8XU3lm8klxq0hZ2zt
1f157NqzliM0UTGCx8nGdiiE2iSUmYz73E6j0rGm5iO3uru00O/Y8ZdOOBRdda3V+XyybK6RWhK8
4yZfBIQ+jwT6qI1KnJ8FWApBOicDpdCUAJtM4aO57MkfsMo7zXXUVvp1xxYGM3fTlDvuKzQk8D1Y
VYyraPbctWlUyXmIFYB+iTCQaOhtN2ri1lUMRVz8vfrUoPQmvF6aSFhS7WRAPmLNzv6hl/ZDS+Y0
UHRICuiKt3rBJoDoiBDUcsNuy5PPTtQjoTG0INVXlRm3YTs12ffO7S9Rb3TRPz3Yn6g32JRgTgIX
xiMExF8fbNCGSs8DoklNPZFbq1DmCzBEP1RTDsr63/Pv+/nHmfTX59918fL23vyX84+v+nH+mZ/w
GhveGdlZ39UrP84/0/iNXQKYdQKZHdCunJo/zr/gNws76dJYshL9ZK79GJFYSwsJlBxWDo5TohqD
fzIiYaDwy2OCwcKDMWoQUcYYx1wchr8+JsQgE6SKwuHcjUOOqhC69zDdemIYNkUQn0ujzt54xSpk
0NY9hQO0MkuL7nxPfWiJvjUx9nDtA8CKfcBVVUGMkYfWHD7yaxMDvRgLJtVgQm8RpcREm4hop4bo
5JfUbIn0XvEV3LnD/JSUnUt+EMWKKVHtiaQE2SWPlmzJ3PKWKiiotnNh3vG91qpDZNNQIlBoTfCQ
/T4LkZecGO4+2C4bXEwK37KWoPYmutHt8ZyQ/Ss8WlEwETcmcpmt7ROYlAHtRX0oNosPe+WZo4KH
kYOjotgAT24xNzpgmkH8Ko29AcBnS1pyiwu/82GYSWtj5RGrm4IJsFVyaEr7Hs8EC99g3VvWpqfM
XtWsJcO0nA7MJe2wqxKcAvr86ATfShGtG3M8EVx/9IbuCyTqNJQZqBiCdQcU1Kxm3KEnwHGc3gdd
HAbDIz9SAzqjJ4+xwSGPByRkW1KvbPrlOJ33mekB0vGulhjtWDSPQnNe+x7Yqsh3Wj6vXYAudWsc
QBPfmGiOlgTlW59PKAJux6i12aqiuGrs4NZN9dd8nKGM6wHBEzr8ucBTD6VpP2d+cMXZqkKAevZW
9gY+3tG7MDL/Xluk4e6sP6ZDVrCpyi5mK3qQY3OFcPIibkARt0XxbmvJ13HQ7qXVX47JeNsF7pb8
xi+9lr3RlJFb40yo5CWxjjOL2I3Z1h8eOn29BzNX28GJX9OlQrLLnbiO7A9DOhtCxdiNIbyS3oKD
s9M7kYAWWTTReuzt5sxzVk0lvlqVi/6wXZLdxhe7VzxfRo39bAmDHjpxaQzFt4gnMmiscm2DdCax
8di70164HUFx5MKZiXXvsO6POfoZo9RMDhSS3nwY16QaJ6h4p2ytJdB1JmK7GSLkj1nHhzQTm7Ny
ElBEdmnedq7cBLIEQ1I2wQZDBMYNsAtXZi8ex/aZlYbFO/dcor2Guk+DGXOjzJ1NZzQlJG83wSEC
kIzIoR13bOpZmvcI6PvayGjoEwI1NPnhZKoLLhU9N3KFJMqmTYcudX4YPlN2HNDu5N/EUW7fVZGF
glOLrccU98nGJqUHg/DM5s0GbmNDCV+SfHzknl4V7BgWEPJDvuwaKkJxTKXtbUrAGyhGrGcxOBkk
AV63IuGRrlTnrpKxCdHsW6GWluvYD8Y7XyKPF0lyHpP523L3woby19CatzrpRH0OMX8mtmBTkSOw
pvHdFp53NdpsNck2mnX/KSXrKPHh5DHk3UJ6OyB+JpN0wk8hrjHqbOWSiDOTm4TInsKLJCU7qaAp
k62U2+4dn66xQ7Z/1WYk39T9Q4CrpbHw88SRem1d+1EI60upA6E0IZpkhcV+sp7nLT7IR4f144ro
oSRkb3yloiEAWwf7I08KXCXzjv9q0qVjZqw751lqmG3MGteplX9MyOJl5j3KOsVTYb82LdQNvfTO
LmlUbi9IqqsTQgoJUkI+GGuhHhmv+pjd+qRZ8csj1ipDVtDl3gMybsUbYnWho/xkg8B77S7pKWin
GCkDbxQdL9PEq+cRtdIm5qGN8YQRMH3LBIogIuOIHewCIcsljDO4HwG5LYVC7BsNJSHgaYkGx0Om
YpfGvImIfNGSuduKoM62HfYFpmz6VbUkxKCxn/YmoTFzHL1oU3mZECajLakycP3etCVnZlr2xA0L
Y7lsjstlh+yxTFaCWASt0SWq9Ooh9d0LBjRv6UyiF2SkEpl+s9cq8wEIVBlGkt9G4YE4ZJe59lll
66y0vRLvUeT2e5lxO8iOBlTZq7YseNbasqdsK/RYa46NbsAOpyCrNrQjLYSdrg2+mmXbead/K6LP
imhxm/91RXT38gbQCp3vf+EALl/5e1WEQIOuD1sxdIY/VUU+yjpWR9//hK/6URVR+liuzWIIBS7q
3qVg+jE993/TMTuh/QKZgh/1n8l9mcb/uSry0YEw3tfBHf3Jl2xlQ8VLOQJsLXwdq1NKBT0k2UZm
S3TY2G3RdrUWm3p7eFZZeSHbMWDn63u8uikup4lgiqjyDYCA7gYDJHfMVHmhq6fahd7NL05kzqSG
dO/KrVsoZQxpZRHdWb3mnoDtA9obrHorx6G+Qt9CkGny2KHjUnoFGirwj2VnHhmtf+Tj9KgSygc7
P9dFs/YMcx+kVEtBxhoqLWGIZwVZofNE6sWo2y2NGQUF5ep75qH3cLWv+aC9q2GBO0UMlkeiNxE0
ld/qEiNgrmtXnU67h9qN+U1OtuQQuK+L/Ygjxl0Ar0zsBywx634Sj0kpbkyXdblAQOBNWADqvhs2
MTHz8SlOD9DVbuvWPVlF9D5zc03VtWtISKVNflVRAcxj9lTW6MHYbCeVcz84eHj17GOKl+iswrzx
gRCusDrqmyFuH4TW4RftsTf2RVJsx45NBEmUNTv56a5kKIUxQdn71tez0ELZQHnaU08IewY/ShPf
Ejm50TDmrO0u3ucJ0WSlZu3Q6GW3jgGSeCRzbJVN3PhGiuPIEcDoGoxxWBhIiM4R6hxn3JuiHYnb
1IS+68f2QKWUrhurS7c2W8d9HyECeKxizYtPZjuXT0yBaeAL+lc+vmEOR8tVrCBShcXD/2gDYOzJ
cE46+MdUKRxM3ech1UB2+saQ1dMYpxbBPrWNaOu0rnH29BQByszaIUZMs5W2EqdyNtMHX/mPDTRJ
pD/B1zwdyc8km+Gs7Mxca7Jn6DD590GlDlYJv4r0ml0xG8W+MYwHrY+Mda8razNibmMMjqyS5T3m
jdaszm1Fyh8auJXVDqcxmQQA+tQLqQEEm4livMYp1278Xsn7uB5eWygtF15ukniaJe/SSCBf2ZO+
SQPjSkNK2lG4IE7QHIP7p+v3DTE/e7Nxi7varQuggl51n5tTt5ZGmoSDLe+F3627zqX46tGFx6lD
hDvVWx9pGQCuHt+KmM4UPlGo4U8NSzYRGyc11UXnGv52SslC6ib9ZYxkWCfqkXRICe5RnyAs42SN
oSqvzNHWDhh81dc8wx9XzXW0Tv2u2rGdyd9yZgL7olf1aq598sKTcT/MNAVNF8xECMzMqF3EIjfK
MqLLJLb8kz9MVy39HFl0GsNakfJmlkOzhV83rjuT6BjNn7HbGahIUCzNm3/vo+/30d9KBZds7y1T
yre0fftvV9LPmkETBLrBkJKWGLfvov77vVG3lqhupN7L2JHYj58ade+3wETLgFzh96/6cSUhRkfH
gAnS+P9Y6P75QiLnziZFHJaRBVbkPxSDDrkRfhY183nG2OVHCHC61U8X9fV39eHPedvL3/CHJnGh
49j8HQBYgECYfIvlJ/hpEMoj68pRWsa5hfnTgLotUnzHQNv2f/99fv2X/Pn7LHOrn74PYD9ZN6lj
nJ1FItFcKu/b33+DBUzxt/+S/4C9xEZdmX3Cv8QcCSWzH7zgQ/DOBRoenWHDrDpsh2fZ7/v0umNR
bKTvWbKNQUqKm666izHQdABMnXjjs6OLbRbXdwrH4RiU/4+PwqCW+duflAfr58/CSrWI9mn5LCwk
inQX8qknEEgY9lnRz0Vo4dPpw2P3UfP/+m4a/v1HtVRMf/oBmP4s4fSLXMH8jyEhESBGN+jedMZr
j8TUCJriMrdN+olJ2iSBBxl35iHzWYCPLbgBdWvQHdDXY7kddG0OG6JZmdjg/9l2sX5UnN/Nrii/
mKV1VJFOjWRqmfEwWmW2s/KA7WcEC7nKsk3jNgfZc9AO9RbY6XrAfZzM58FNN2VMa4VZio3nrmHD
W5rX0ZwhBfiyqFVjklxi/2RBNGzg6Q5MM/FYHyzHIeO1WE2Z/B/2zmO5bmzbsv/y+rgBbyLqVQM4
3tK7DoKUKHjv8fU1tpSZophKsm7Ua1TjNpVMEscAe6+91pxjkgl2w6S3ottB6YOvKJoUr1M6pkfZ
ciixET40OMKxQKNfzfdKq18iyY/HbN3nKuAFfNWlNmvLwrlpdRHabQDcGkVLPdAXelTZC9nOcHQm
6SO9ajfL6Os6hk8WGZHpH39D2t+lwr88+Pq7x2WIaOHCVJ7P8lrb+Nv50N5rayAW58ZVDu2m8uol
A1ZvWmnert4hxF+Mj9I2WbVreW0eo1X842Dzj21l8fB8tEy805Xo5Axambhli2RbIMQdFsAIGObJ
nyxHv7sz3y5H7xY8O8rmNAy5DriQ9Gb8WglOrwf73fQ/eQiUXz/iHyvS24fgXQvU4f3XmgMiJSRK
/SIZFwhHMY8MzZJI8uA8fPbWfrcCMhLTEEMjnjO+mw3frICZmY2WRYTReSBTJp9feuni45vmdwvg
2wu8++w4JFjQoVT1TEiXcCcPkteMn3EqP7vIu1XWGR1znugpn51+P1e71rxRzaeP38fvtqS37+Pd
8jixVzOhMdQzKiwayWR6m1cEfzrh+ONm+5/GQx2jL3XRFN/a/yX+8peinOooCNv//es/mx//Dl4L
4Xz75R/gg8ExXXav9XT12oC4+FPdKP7P/9sf/uGluwEJ/N//9fwViOEiato6+tKyvXD05grbr//9
Xz9kbkKR+c/H9ZsOX3eWv/7+9/48rKNnUxgiWVhgFUOoMt9URjJSN0YVFoo2THWCzP/zsI4jlyRY
RYW+SLOL++dNZfTOpvfn53DxY6nhI/zHBekHUe9vSxKODUWwBHmm3j2/Sm/UmUQyzHk2wp2mkGPR
F4Y7okqZEZSvEJ/pbuynR71MgYxo+kbulHVUtuewk7Z5GtPZVC9zBUWapuyGpnxOOv0RpK2X5O1x
nJVDQFrdHBI4nkjF5IVW8NhM6WXP9rw0s4zUO9P0UKZXLoKT0psVSEXZlKJnT0Jk2lmb3xdauO+6
wj7kWnZhhwnqZagS7mxJXu0kL6ZkrFBBYGkozmVtwKhx4odBgfBf5ObZBszCoIOwwUSBk9+ZxVez
KOgkj4Cp5tCCiNMnytaY7EPbWlvNx/U1ja+TPh/JFnhJ/eZmmIhEjRnAFGZHaSN05715Rji1S1sm
pk5o3JL4tpiL9mkIzVXT12jwFIAfg2Nf6E69T7PiHA/JKR7iVSkpPgI18l9iC2+CUkv3jrB/FXO5
kI34ENYzqteSvDQyoreQk2muJyjEQtMB8B47T6OVXWCnPug4D09ldSkX2ioDgTFZnGYNZ9Vp49VE
VjoZ6REmOOVZU0JIAdJDr/v3NIhWZtfBa+kHgwzY7AWh420poQvJYIrTboxPE55nbF3dJTGQMGPI
yr6r9K05NdQerR0U9Fat/hTI9soffDZwg6Hu1PVg36Ed090Fv92ki7bK7zpehk/P10siABocrddG
JPSJNjh3edpXPd9DHDOSiWWbmODJZp49aVeRXeyHwf9KDRUjPDRv9MK8klBpevQbDg6TH1BdVuiF
JVCuqA6vJMPfGnGrH4wCLs5YxTcUn19sOUILkF0SdvQ1zuu7wJERM6kG0Bbe1Kb0lYGy1qeoKsbA
s1R1pemikW75XlpEyaqMusVM2WrMyVrWIdmryKnyDiC+2nSviDLKhW4i0ZGt8qEosqWjlOmBTTck
LBSR2Xf3Wj4yudAakpQkIqLcGWeiaypOeSSH6LaaEyg/HTQcOWYIFkmKG40MBQB+I6Wsi72Mhuqg
4CLp7OYhMq2DoRtXeV9EnhU5mScp87zOcobsuV8PK2eCR0H+z1OZV9d2zxdvDHANjfkkdz5DGQmt
XW9cOaV91TGdHzRSlBTf31qJZLsGNz01sr1CdyZITWDZ1CBpoH6DyYyrGpzIPD0H2oycqyHxIeUT
dVu6wm0vLeTEhJtmIdNKs+iMWhZisJotJwjPdH9CH8xWMD/jb3hue/MmGPubJKVDMtoX2CgSbwhm
KD4q7BVq+rvJpmhpU2speuXh1Js7phrgxxV0Up1BLnAuTc98r9OOWIplUZY6Im6UgyrCM3Vsjqks
HUcZWVpEXsESTeVzMaM5K1vEFyauYtmKShcBOHSBGkCOWg3XOEMLBnvotHw1gDtKA9UbhC5u6LgD
+e/fVKGZm4zUd5EIWtCApCuIaa+NUNjpZhZBBbFuS8R3jVDhqcjx6O2fLeR5ELpNdMIo9nKh3TPJ
QAmFms9H1sdkiG9bKP2qnDedCPVfhwxQF3pASFb5IojQCPZCLZgiG/R1c9wQ7/xcmVGxdlgaYd+s
KhqfXojocG7DcyPmLNADkGMiTKS7OnAII/IJyWIspIszayVSRkVoGovv6sbCeibbABt/uFOF/nEQ
SkgDSaQEjdWDDlAt0xjBaS2Uk0njP/ZIKWsklaHQVgYAQQlO6bA9Y9bVEWCWQolZI8nsNKlY2LDx
vEHoNYMMXBvBm4g8vAJBJwvdOqgQhapIPScknwnSz7qytUWadPe6UIUq+MQXslCKzkIzGn1Xj6IW
otOEojRVtG3dxNc5EQ2z0Jz6ifI4JDDGHFSpxnd5qhCqaqXpOrV615uXQ7Ob/YcBUl+oXUJ8cznc
3YG0uY2QuppC82oiflWFCrYUelg5Nl8VoZBVOEgBkeLRFupZSehoLaGoTYW2NtL1ReGgKcZG3Dvq
xhIqXDSmy3lSrnODkYzQ6UZBd2+1CE9lJLxVe0LZ5LZGR6i1hfVBCH1TIflVGcriRI/uFdTAqZAF
g3VT0E/WR0dIhntmNytNyIhnRcM6JqTFBhrjAa2xISbaDRM/ErWKwKno72rqhpjkV04E4XHIW+Jd
YesY1n2M0WhNf9OKOK/P00mBBOaFDd+zNc3mJrBbskKJGWD92vnt7JwVrS7O8izNG79p9S3x36e0
Dm37udOnaT2Po8p6jIqBzSNeOVWwygzlqJbGltVoZxIUTFQkJMOWEZNU68xJQbwup74C9tdIG5T1
J11vgg0Jnq/aJL8yBHhhy4mhdY0MeQFV2RYEJJm3zmtsNKVYJGP6hdxeUHhBuFZlLHBg21geAvMh
HDMMzgppvUPFYE9pCohSjB57UnjxvOwDPuzypZV3iu5fkTG9kaRBPUW1ddbK0eeslCleksq3fPzs
4kr6Wo7xrkfJvyqr8bJuwPnbDTFdmpWv8hGnNmEIosmOfF6phoe8ZV47pteGPi3M1LjNHHybVQyp
bU62g07KS5Re9Dwn8OpGzu/ljVXoX1hcL1pnyD267bHIp71SpJpA81JZD3rNlq00p+8RvRb2y9yk
fc+c4mw5NaEmftjREU6mZT0yLmbdT4GpzAzTzWaZjYxESpMGfVSozzM9aIaUw9oCPuSS0nuiyH2o
6/IwWqnFFFFaKrTEmYji5IxX/aBeIczd8+RuLNVEkTGEt+XclF4cpcdBYatNlEPkt3vo9Pfk5TwM
fiI05NZ9gzqjGMFOcQwHXUnrinN+cJdNcu4puNXmaFfr9REI3KocVCgPkY0TtWSPlszbruyPMxgG
jmMvqW7s0HinfO3TgaF7t5nqCajTaB4zBbmcmbEQSuFaNiKIfIa+SQr1MMjzvqs1jdDXuUZUYd7H
Q5ZdaD5gTYh6kisNtbroQ/ADhN+W3kDjxjWyfEICjanOnutNg35hUcvxizVQw9hjd2GVjUb8T1+s
keg1h6yq0UOTkpzGGDAK/JZJ6ktrB94VNaff8nAZKWb7G7OVdmZkZWtEjVuHaovhfqnFpjszEfoD
C/w/fR5bvxaCKNL8ev76//k4pn+oJ7smuOt3ejLxW38exoRoDNWs+obK+1ebGl+dDgESZazCsVlI
Wf88jAk9GTgUmwb2H+aivw5jYqjK2U2Gf0kwmzDEvzt8fXQYU+1fmynf9WQMTFH16oLeYsmibfCm
udEDUGwryZnONLKblSyl+bKBkpRACrX9as8sbjTcqjdAzBo+ltYB0zow3zX2WVzsws8ehbJxGIXH
vY950LsG+y/9dy+dtGalKq1zMoU7ntloeanqnDtMvZU4cAUwQLDTO8L/SZjQl7xCXKqE82UW0ajy
hVtUKnsQvRhIqRB7Lxee0qDEXRoVA/uNjfWnI5ARu516iR8/3fYZSpTMN4hXwakqCc8qDNdmqyRd
Tsyb8LRGmFtxIb4OSXVdCMCicL/WaJm2sXDEBuQFebNwyYIKfELTd+UI/6yPkRYS1oC+qFs0wmPr
Y7alRetWwn2LQetSxo6b4bx3sOdG2HRlRpOx8O1G86CSvhMfdIOCF3HDcS7tr7Nw+07C92ur/X4S
TmBfeIKlrsW0Yo4rh6FqInzDBgZin/mcJVXHHGNxHIm5nvAaR8J1PBjTyxypJwWz0XKwy6soDGDV
xVplXzQaMXFrqWMYXGK89XyZOWhVUyMpWPHLYq3iKpCdgb2s3XeKs1Lq+XW27WhpWP0+HyHhWvV3
oxcxQXnHEqzDmvFqm6asEziFO6j6fdmlR7gvwaLSy2U/qsaimV59y1yqKr571Q+eySP/1lkBFp3E
yBetPpMjK7fY1VIaxTWGdstEL1XG5SUV2rMNNdhVCFHzwpRQk5qa281N1HRqexfHxWUnZzLmItxP
wgo0V9Rd8DdDLcd6bl6OQ3CPNMtx26xBv0bqVC+h9bZNble7QXwUJQFkk4laz0rzCItaQ/M68Ck+
Kueu9GkoZkFFaQ4PYbDrxVQ1zPuM6JmyPkBAVzxbIzhbhi7RopF8apO20BE4JgmYVp3sEhWPBuK7
cjHqtMWDNri2fIt7imPSRs0yxsPF6BHD7rj+OEuIqIhi0nQdU9lwiRQSm4rmu/mY2UumxYfMVDdw
zlqvD5wzkU8wgiW4QVaobOVAJiqKQwqbL3P3OB3PBbCympwmDhvJly7u7uNMeymn4SLWO+BfQfYK
OvxUqwHkysE+cSCXlwwLatdvcG6BxLnQSu0rvp2SKi/ksD69DDFMCzW/jmi8eJkxo3Nrgd5KRrCy
jZjmQkCd0PrmI5jJSzUAshbHyWs899D/VJ/UsMFCJiqZbqMLD3ggVH7BwEMdpUupTO6Job8HQobi
vdef2fmecrMjEaktWrfELEgBAXqtsO/iWtorQb8jtYuk79HAyYP+rhAszQJbHZpZN3akx7aa1lZc
HIAsIGe0MJagUn9oSW5yk0BzNn0JV6zJOGMPRBmDbnX0s5oUNjhCMbD/3pz7z7ao0Tz+5y6lGOLu
iueKaKW/NyrFr/61N8pgWiy4VIIW+KvXhG3TsE32Iwvyi2hV/twb7X8BaMHKq8mKrCJGYtv82ahk
P/3jj6FWMv6drVH7brn92adka6QZCpQGHbiusdu+z4QgtSgbR32qzxPxjJSSKh5QlkGW8q3Zhfk5
0hnYhJxKTKNeI2c2LquJx3oO5CvN16+Sunst5BIu9BhuCfbbh5ay6hHQ0oHwpH7epblysHMFoAbS
uV4fX1AoH+SUg57WZSeYaisfFkUTSqtiki7RYtxaU35vjC1xyNWrrdu0/CDpT/k24Sga4meHa6pt
DTu8q4HR4jC9nJL01E3RonfkE3UxlFBzPJgkmQp06hAFtwa4U4l3tEzr4cWJ2qPvMIuqtSctSNd9
2+5y31zhe9/3enXyw/DkcHxAM+EFYXnqyPbTigrohHpv6cYmVJSTg+JHAj4SKzGh8sqSSndRNfMi
lPtHJ2ouwrA7BsPk9YW91oduqaUmCxJMMOdbUzuCZTZAIu06qKX2M7xjunH6fRz3W6lxFr3RYDab
1xKq1qycWf3q66kBM+yP0TkwLCToRB3H5q3RZJt5aq4yu33J1RHZSn4Cg3joTdFc63ZZPW26Cr50
UH6z4hLzKa5c39lqgX5lhbSVbAINWysnXS8djkln0Tadqj1T3Wet0GlomV6IuQjgsXXupPYQqNli
DvptTcRdY0lXsTNuFdm/0wVBy9GWZi4wMyF+2AQZaujLlWdl1TGyU/JTBw546QTtB7Lps9U79Zoj
39ouDRRCY3nPNgr/ZhhfONc7gVvXgVwtm8kZEHg2dh1vQE2GpDnXdXzW5xlUVqybubYmIypaOXSg
F72QOQm9U1ERniBRIyRFW+5yUia9RuijFBobx9GY+0U/gTZLSXonKDUguFmb4ytVUcFTstnAyNrE
OTQVilqiF4UmK1c5pyhCpwV7B/eT0G51QsUFA5ZCAGFXpE/VohUzIF/DTjoL/RfDXixVSMJswErE
UjNWjpGL0T7Djx5/G4SOzJHUG4kaqKA9g+DnPKvGSkd4BlwNIjZ1DG6s12jWj3bc3kuwM+NjLdRr
/L/o2IjNJo88WEZC4lbgFhaat7KHk+sLHdwsFHFxqb8QHw9ATajlyoauPf13zuR0/Kwx/upIyJx6
HRUrkRLVIlHt16B0nvJJvTUQ5PH6Q4RLckMZh1pPKxHghULBZ+Qxp98EQUCPDaFE5qfZEWnY2c7O
hjt9nCiG5F2MLBBPK35diYM0gkEamEsnS6sTnalqlQlVoSr0hQVCw7wMyQsCUbdUw56sYp3OJUEs
DwNIzkVTZeRUCNn8SC1rhUG+ipNx60vpOpadyIOr/AjtCU5FO54j2XoB1f0y6j3W1DHjvrVMFGfk
ZlphShemhvZcqfDR0pmDprr2C/WhrehAskxRFhlEoHcNo/7oYQo0/rikf4n8KluYDirGrn2RQDo3
Kh660ZcXVe7fa2jKgNsgp6c08vQk8Ogeqh4Yxs6d6/ImHNDtyzHZbyOObbB1/oOW0jf3S9/i/tJW
VcJgw2Hos5yjBAR2wWNJ+QIiWtO+ZbI6rnuf8ODOQDgAeRtma7WNotnktfW70m7OY4YNd+KoYmfa
dggJc2j7u1yWd+1gz24qOQTqYgFwO3k8JKF8PQTt3sjDGxrM2HBjMjTqmOpRH7SFOUqHqLMVN5+S
2zrkABBlpbUgzgTvcggReQU2Pwg9qRAtaEolHOR9uNWRF4ZpD6RctqW1PKNqhikVuXmTFauxg3Kc
TJeloIZYypheRpxMfkzN/1OLiG35w1oEmqn7XL88189/r0bEL/9ZjTA2hbuhc7oGdUOkx7uxqaXK
DqMatMcc539WI8a/OLtDNrWhslOS6JQ3f1YjII1N+lO2plE7qPzZf6cc+VWEQDHigFcllkS3VHoC
psare3tO10JFGlqio08hoTnNaRwf33wsf4xp38rJcKn9ohQRV2AorFFR4S5zaAXwJt9eofMbvfWN
sTt1syHObt+QFJ1SH21t3X5rwSbUMG8WmY5gV5HyLQ61TV3Fy84qOdJLJtHRg7bOLcT/DQiQLlzp
TflVSjFZqs6BhxPRa5sM7hymZ6VXjOQAZr7SzgG524Jp0GOzUjXPCFEyMzCY5sYdZGM7whFlQ5CP
mpaFJqifyCKXJEq/VqoYjSCAXeoNaS41hoGHOIWY7iT6F5hj2apVgKDoSVjtFdhTbqDYZ6u0pGVq
1w9OHWhLWjAs1LrO+WjEu6GpRcsJmKV1qvN9X0dPVGoHA5qx42TTYQg406R5scnzdl6AwLrxjXSt
zdHRRjGKAS1/kmSsC4o+wliTMOhxQG4y/CcdM5egbK8tREySXG61Cn2vLG3ystu1YNs9CCOXY2Lv
YiIQ3GCuF0qb7CrLevaVHuOIFW8CR8JiEz23uGZduoVIwu1NGsRnCS8KnEuwdeojCd87p7M2WWUc
9LwycKv1xxQaqplpHPfJDwHI7ha6cxdHc7uZk/Si9um1NHO4byP5kV0ZIZkU73RJv2lT6JvqTKqF
NuvXEY58mvVjuOzsaDullI1GTMy2H2MprgiGLMzkqdMdJO+k58gBYva87VfsRTtilD1H7+91st2H
0DiZDYfFdj4nkX4VZoxpOj9bW3p/DId6W0zDNkBWHvbsppkzbNJ+OIRqem0qReZCf75Henun+Na9
6XerojZ3NvMlaayf6CqVNPsdOBnNY8GbV6dsXEvT/DVhskfgsVf7xkJLxkM5xFiMqwAO9gSovrUb
0CKEhAem9cRTQN5H/Bj4gqDatPGKYB5um+rbVMQbm/a+rpVPXS0/SpJ83ViICBI/psJyPNlIX+bE
v8QINbvhFBySWIT8EtaM2Ny6CWf4eSXxREEUMJHJshdHAZwqlSE1y2wZR3sE9R/BeqHtpaBeN69j
R3/oyiZYSSpts7QUT088EPEU7yFP2uzTQ7UwCEpwSbu4Gm1aJh1omH0fyEDWTK1ZOmnJbFCP/OXQ
gBZqVXMZMX+STYxHTuWTWOtQMoWKYRUUK2bH8133PukQk0R1G0d9dBrryDxUpQk2nY+CsKAyIHAq
oXwCfLzQQ+yiaSfJy3am3Z+3fnJV4BdpRZLBvjRFEPvEmKSq9y3VR6mXzZaBNjE4mnBUq1WzgQof
L4OoO0DuoqWYlPlamY013REHQ5mqkJmSlsuirQpgxVF6toCzE1UO+Y5U+MDz/fKLMU93ta89W0m1
YX07xqGSeY6CQmJKpYNP8SpKXMNNTGP02rTIrgujk3hULT+974hXH3pmhlClzzox1KwsXh3rC5Cg
3QI+4t6qLBZEhRdtDZd5BxCs5IjAGrULKn9D0AFQl9gr5/aQxtI6NMKjnMr3CdW11gmNpZ+u8zGB
SOBDMIxaOEK+iYqRNBZfj6yXcqAcwr/awNuphuwmUbJh1UfaWkN27mko1oGazwnVT1QfZzs5aWoJ
/7K5VCqzAVTWuCPzexe004Ilb6sqfgekA7lmOvW3gkqSqZlHU6VLFw3x78tpaDOHNafbDbJZPOW0
Y1l/pW9VE8qLqYMbwOVQxTPAORdaysABWEi/Id2pX5PXPdE1dMJ7v+IKapfe5FBGF0hVnV2HK36X
xgHmEMPEa6LZ2y5Rsa8U1o1RFVTFeizYy7hDF5Pu44dIqhvTn27s3JgfZj8Hu9YVzYo0DsW1hnHV
Mplfl3Kfr3FUFl7KL7p1b3QPTLPQDdgTUUjkVYTsSmG70TlyuMmA9cfOaNxlxaPZl9scechogaFs
GCZO1i6pplsZa1BPIxC8THjbpeqN3VXOfhRYx4LQrEXhpwxluhgNgCw/YsfQFtqoVw8d7bYF+KrZ
JeotuWISi03R1x7UkeQ1XzVGcr0kx4s7eVp+vD2LNvzPXsQPOgDgWaTpCGoQcNEPebs50zhkVBDE
+akVVPFx3iJ7uRzqZvXxZd5rsXUH7Iep4OYyAG3w2L8vAlqLkLsgzE9Zmh5hq96yKl3YWfbEcgnv
f2LCCyRh04/lKrWTTaOG4CcIH1PzPSvVAVEtbbjkMvS7K3q6Sy0k8AaHdR74r0VnUvXyCOizfTLl
gHLtr7ruNwXMbz8huIWEHOqGRqbar5+QkXVF1DpJfiL5DM7pjUhHCItP5L3v7Pd8D45FcgXQN7pL
lsGN/utVYHiVU5Z0/akM0IpJpr5F26C7sl+xb/Q9rmapf5DKtLgkkncxOfIWiCwN5qlkodLkyznO
VqE0d5cI3p3rnF2pK/qTJDNq1JmSeIYaz65RBKdIIgTG50gzqDw3ZjaglMbeK4xOz0mbegqUivWM
ocVvFHMZplGyTFrti1SrK9gigHu1ygTV4aB7qhhEhDi82IrEcNvcgtJ4hRD1PFpC34KbkznscZqt
3rWsSdrIyhAfgVBkiIcwnwUKR+fQwbytRMGd3ynZTTUAm3WU4GBkJRnxZtluTGVY9gVbnAIgfIot
2uGyeoaikC/GGS22oqUHX2Z0v+oMNG+d/GhLyCqsQdlMsf4INDhc5mU+MzaG1SHJi1mn9Bh5zDCd
0t4apWxTt6RIZsq4Q77+TN5Z+GVKjbVscvq00vCoFiLQsalWJIdxHFTHq8w0U2x7CqFr87ivrOYT
cTVtjffPJfcDD6Qgd4huoSBXv30uwa4UOT9rTzj5njWn4TjNzOpkSjSXWE+fggY9L2HTnmKOCzv6
Th5Ij3wqGLXDhGCLoDkiUHCHWT0ahf2AmzlcNZlRrbpO1reIaTv8UkDJeru3l3KhZxuVTX0xKFG1
4KxOPcJCJGdFjlu7ugbFToBdiPhgHjilt3Qf87JamdmMUtZ8doQwt1cKy6sz9dYkVVCHLLPQyO0x
iwZtOjQnjtbmQ2yb28FXv4Jggqw3sAw46cbMxxvfiQ9WX5PfpV2bxsQdUgI+UK+Nvj8mcXhdRcYV
bL61ObUPdpLoLnWjvDSrjlqQQIGmo3FjGzROtBgRF+EoC8WUniXuCa90tEdFkx6UsK8WFclAy9CS
V/2Mjk8ai6Wi12sZYI+T9zBi6DeBvtMTDti2PewtsALoL9HYp8Jd2N5oQ3lygE01JJtog/ylAt+T
M5MCU0A7L18kfXImj+lg5eZqYIATok3wIiyfqhNdJqWUbCd7XhbNtDRTn14jBU1hBpxLeBh7ybkc
qvZbZEk+2hXhN8Vd3XaJZzYQLgKQeYp5MJnbRxqmBpu5C5TjmXk/FWrShQf0mEukofcFQ45Aii5E
+lkQFis1YS7KLh4OwcZW0se+bIjKhB69Re6jKOyaqT+sWrb3vM7KRSdVMcolYM2DvZ9jLJwOg5tB
CQTxhkV3VpVVTIcYYcUFUKFNkLf7YKgOufC3tm0qndOSQd6UWjs9GPalGldEPIhxFFBsb5DjTVgO
R6nhlJASw6WBzyf6iUjAC9NYWjDUGCGR9mROq4J+n9Xfl7JEi0U+0g+vMSLqhzgcSD4kK2oPutLy
GqY0nhX7+XrosX1TN2yKibyBybQ2dU8VYhWoIS2/X/Z+rXyytX3ypGri+Ptm0K2GzhQ7ZdKdTPb9
vjlm+eiNPdjF4ZzUR7hJnxgihJ7+lx3715XhPahFDcOc0wUrQ1G8KtbXfkSodciDB3qjn2x8Ys95
fyWINLqK1c2iz/5uhD80LW59uR9PM0myyzIaGy/yVUG8KLZhgeElGXvAh7CLCtA1AKFtwzXjAjdm
jDMXFQrfjCJ9w8h9Oeaa7TKjuJOi4lzI1nVK+capB5i9ej0GjELzFp1VGz3lsX4vhWl5FXRJvzTC
sF1nRrc3YtmlsFhOIDY8Srx13mrWPZ6863JOF3RSdp0G+EFT93MwbY3SOQ9JsK/Zti0p2SeqyKlE
KBPa3lgq91lZEwfhb8G5iPmmjXote57lyfDSIXisRqe+V8XoVm204JNP9dd+y4+N/u2H+s6TkZh6
DhPHHk/2+BTOL5P9I13sH2Xwn/39dxsHQgtq5CCZTpF9XcZkC2q3n9wWH98V5rtKDtdKIidqMJ0M
9QLzscvHJIfTj67iP76Ld46P7+WQqZPLQEmK18B8d+uNDFjRZPIuHHiV7Zd2yKhJbqPR+uTbUH+9
x7+3vzQL8hFbrUNpqry70BRHOZrdUj1RxnxhU1vcpCsiCpawMbx7N3fvt6bXH16uUBTejcvndDm9
8EQ3G2378acq4Nl/e9jebvjvCkCnj5zSCVhG2hVZJp68HK+7dXYZrpylwL6tlDWf80rxgHi64dJh
5rDUT/mXj1+F8btX8fbuFIvPm8UMi0Bqq5AuTw/jVl1abrtyLiz3jJQhXKzvDe9gLrK1cwpX4ya/
NjY3/iJYjxvWPXdeFyB9FrTOFs5COnSbfN2cQ3AvbrC4K9zuJHvT2tg6WwTxm/o2W11//NLfAfz+
/mC9+wAltUG0KEXcly5ZNKvmFbD+jbKA17IgUnABxXKV7Yr1xZfDstuSkDR68Y7Jwi4+kXTg+Uvo
eV997+7jV/XdOPnBGvqevhbRca8tk1cVbh039OZNtvZvcqzdjBtc0/VdQiDcdG2fqo36RCNt+fH1
xe3798v/fI7erTYsNRIk5Gk8yXOxtIZhP0vJqe9IdPz4OmJV+eg671YdG+IOQZLpdKKmdvvhizxu
BvgQ2rKSW1pRq4+v9vs17q939f4wKWUs/kYVdydC6jj5XZXB5f/bBd6d+bTRTk2TqIETQGI1pg/o
WIuPr/DJF/NdI/DmQZOy0s6tiQetKE8NtohSfZjhRH18kc8+p3eLW6OkaM2tuD2N4lshfMsZ/4hE
+MeF+rP38e4G64q56Rg2TaeBhOvIPGUJUIfs4uP38cndZb1blUw/kCaac+wGpH7rTr5M0vasaZ1n
geSNkTv3kBU/vuRv35fxXUViE0Igxi9vF0IbVYdfRm130rNvdbxKtJAm3/rja/z263lzjXcPTYrw
VqpCfTwZMQhl+TLLPukqfHaBd0vinGSjFpO3dpJZtGlGJ1r6ycf0fX/86MEXG8qb+ziMGPr4Kfcx
ZwO38oId5qIjRwRMyF64DM6dm+0//tSEl/DDtUa86zeXVOj/Ka0askc90BjOWVWJt3ERtz8rh3nb
uxdgWfmBaywzT3HtS8m9apdiV794rC60Had2RG3LqXU3uReuP3t5v93I35Yu7++cqB5kxeehU85i
I5dcAjP1ba54brLWF/e5u8Matv8mv3A4q2+nPXPlT1Yv0Lcff0LvvvdeasywciZqiQV48gWODRXf
yD5dXKGZPUC2WTyC3nZzOrYrRCFr25M+WaE/ewnWu1ORNHZEbA9le5L2hTviyHPjr8YKHOq+ex03
5TI7WGtpLX0LHjVvXCdngq5fP7lPfp07/lkQ/Nwl3t0nSa9lepNzawJXWcG3dyNR1W0T76bfEr+I
isKdT4hi72XM8tmqXFsXwCQX3TLcou57Sr1PXo8ojP/2qPx83N9HRdqSw2woZ0mpluQCrckDGFfz
aj5Ee8X9Emz9FWl223JDU+8wetbtEjcfX1G7TlbX0UIUCX8UB/8Z3eusQn+1eIWl+pfY0evwuWmf
fzOz57f+nNkjEyTlDQgQzC+yHUy2tb/U9dq/GGPRreUnnFBEZ+4Pdf331BqOydxyONJ/GKT/mNnr
MlAZusc/Zvn/roTQ+N5U+HkvcWwhMo6/osDGRrFIWMiva6AqLl6mVXohpxYGYJ2enKIPd71lBmtk
9+cylGvGr9ExScl7qidCb8i+YB6IyKofbXrm0ZH+4w05Nan3f9g7s6Y2sjQN/5WKuU8i9+ViJmK0
IxBgg8vYNxky4Nz3PX/9PAdBlQHZ3W4R0ZqI1lxMdMlkpk6e5VveJVVQshg0B3CuN+INoq3suEFI
0YVvo6ygr86ThPpdRw+cFPxLZWD6RXNkotG1rfpi61vhZqibByv05x2gNCDW1IOVfIO95h003aU3
oBCoVRmykkHSrMK8XGEqf1aF3jwDfTWq4Rx9Jh+DsPbcRHjD6tqLTqXEP5R6gBiIuo0RolFl+Ra0
n7GwXLeZ5rTzlyXV6qkDMHGim9UaBCOy+xiB1Kq0crRwHvnhtduCC+s1jSpyjrMbzoyTys4XnZnI
q4SHO8O4iC6Z3dEeTZV0IqG/6GjxPdZA+XJQqbIGOLJPpMG9wezie5wDeJbTTqL4Gm4iCGmzwFOj
edrmMawxCwh1nw1U7+x5JA1r36hhPnbxpxqnk3VSpDOozqDRAU2ltrNWaDROqPJunFS9Kfxmifzl
h4Ce2bwZcTYdILbJo/1dkRCkldT0A86eCT5/zpcwVD4S2EvowVB0bWBKTgdTuxmT4AvUy1kXJxrG
JjDFtSA41xXnLCzk71UFHQ4ogD5Tg2aY+5VJ+dzVPjS1/9kPeX5vIAkaYftOzVxfwS/HjzbV9Dlu
MA9ZGAGVjGedV070gJYiXgDmVA64j9xXROFOCkkdx9oh+diXej/N7JzeodYsPY8ovUhrOIJ0GmZd
yN+hVOnMoAPryyRrLrPM/mwoLu+9auC2w/iQk/yL0gTndRicl4ETnEqgLNAep2Ogq9S4nWrADRfP
EZxz86WrZdDJnHOKxNYpDVywDlVwIYfZF2x3YZXG1LmboAQ5D8Oq40EpE5Lvx+2qUOQrVYUiaXTo
DCvuWek1p1Waf2qkdplV6cbPsgVUVYf6Y4BoXtU6kGRxejNjepq23N6ORfBQtQBvw37ZBTmOLilU
bngFNAX5VYN1lRUdbrlOe21H8QKiXsGp025cKVgMsgMoIb1UjPRKben4GuOl1JjgUYd2iQYyNJSm
pJHjjzN1pH1qhjEwywQyI9aFLhp3QheAi1IOzKc0xxNKwQ0Zutx+96M+mvWJRoM5F0s1qr71AM66
zAaX2je0IwukkhvHWWKifeor4BpGV0/KiQp9c4IFIxAHqffmRq9BnbR8ONmSrS1K/HM85AbWmRuF
YAn1+8aoab3AS8+09rYYm7vR6kIK3PRgPK27GppQ8OtMkHq1WRO4qy1YnCZVyzPVi+sz9p5iFtr4
KwZ9AXgzTepTI01Cc6E1dPk/tXJk20tfL5VlgzMNa6lIFfpKfTkiLOf1ytxOJR29vxZ40woU9wBY
QwNyfyGlydBcOzvzLqeUtLOmbyg+GGns35ajrraXUZ2vMq9WEFseMBXSI30RBIY3KeRxq5Tex8rV
8I6N+rWup82ilErQs5J5ZmAbO8N1Safzbd4VWVZNotpE3CDUbyPJpKuOo+1EkUdzrWVM5ii1EW3S
YSENRvY1d/WtH0LYq21gO3ThvwNipaPvC73XtMM9Vm5pltTgmoao3wyYdfSBQwqSSxs9LT9IbnOW
2NnXNui+jxLQlx6EYaXAFfZy/KArrV/7VEBl9IwdK98GEXr1gQvaRzXwNUDegxI9WA81vHAr51wK
hy+xr34fFZmreMb3qE2AMGLVM67VoUfw1Sjnrld+jHq2HtlHBrqf9fFZ7FsbGV7pzOmzLRW0U1+D
vQLTCbO+YMSkTE0uTEsITRuON5cl6QPa9Oqss4xxFvTNhmLrmWNAUGUU8pWVFrjgZHK91PSWvR2Z
R3oO1nykJ4wigHRTR7PR8D6rJRa+NngHUOn0q+3I6bg5eE+h2KuNNCVHhDpnGgh0mgiIaCR93uGP
0p3ndk032QaB6ynWZdClmya2kLnM3UsnReAsqVZeU29Np0MToY2uh1gq5mOCgrnrcIAYYfPJbZpq
1nSIeMTZOpRw67Ga8ZYGP4i0BmmRqEa3z5BVpDyy+qFynE9s0AsZJYUo8YV5lrYiG/tUtMFSCqwe
5o18WnQa7Nn8o2Nk3wIOOpAg8oUOaYpWtIsLpO5CAFDKqSGXp57UciTUnTdRDTCxfhSdOmh9IEiQ
TnGFKpaVEXTTQK9AQDVXRCILKHh/tglQ4ajAj7kBrTI0ej+PZIhLyKgWQNpcwnCo61OrDbMZXKZl
KknK0lR9+7RmQKcVqDocw8KJbdVr3JzKSWE6a5SmP4FYk+eAlzYRW9ZCCkZvKXXKWYyA5xRNAgDl
rLQzT1GvTAUpC6miZ1inMvbnaqyJ5g2ixlrhoh2i0YYKrvwm/FOSMQWDNoAqcOCywRndakxUloRh
X6klvR1bAdNrZv0dwmOfqQEhQWnd0dG96015kVfmbRZ5t4g3mrhXBadukt/Kmb3S9PK6s9UzeoNT
TR0izEv9M7Xstl4SLxtLfXCice01wYcREyzsVOXrVBebOGos7PX+LhH4T9gtMpqfh903D/422RN2
i7/6MeyGNWrofwssvgi7QV/o0GPg6AhZwuewWz7RDdW2IaYIk0dwWH9DZZ0TlKrxrMLUxeKPfk8O
2FBE7v4y7DZx9BP3oiNvCo7si9IDrgaaHPMYl63jRxVOpdonz5DhLqTSuom9uQIHcWqIdeq2zSka
usokS8DGKa2zro3InOYE0AsvBJkkZcWyCSGTpUoQ0wNO5mGT33lqD+FsrJsePwEza6SZJjV/VsCm
Pg4wWJZmaaIjqg8mrFJrZhYAW3Pa5hvgxQ3iASqFeUv5VrvVd9lt6lXepZBgQiWY0oaP5my86On0
H1js5ociT4j4og4RuxiRltI2k0nssMA9OORgQqA60uuZ2320CL1GWimh5c7DBMA+boD3CuwXaA1C
bb5Ow3ZlVi5baz4iwq7RB43cVLl0VWx8+yblv/lOurKAyqF90n8YgxigvSWzATgA6EeEnDmzxXak
dRs0vbF19dd9qq7qEkYq/oLbGtTJmelB28vq1mDzCD9mRjWNzOyslWTqKCZ+FNBXUW/wwQWXDWJ4
Dbta6ZvuHGS8oPlfO2W5Ii+yT41ivCq7aJiRr31GAeguK7OLAtASvCd/jUrilVG7N14LkLCD+NBC
ISpz/VRunI1RIXevVpIJN0W3luBxbsMuXkPD+dKHNYwNR/reezbom9pZBHH71Uidhzy1ilNF99FJ
Smub2JBhwbcLpJ/v+ecBtkOTCJDeVzXNruwh/DOSrQSyAQ2COMWzWrKdbg4QA3+8qvpsttUX2yS8
htE/j4A3YmqIGi7J4J8ZOkuLRI7RvLJNb1bJ/U3Gq48fY66gldEZGBXEd2Mpm3p6c5WLIE0W4Rp0
6zs9r29b4jj8D/SFqyn3uQjxfBHspa46cUX456VWuzBFSAiq0OP2cCQaGaCP/Bg7BiKMzHXtVBKB
pWcn6C3bGQuBqHMg+tSJQjURjjoQsOZKWKGUYFbfu5T9Gi8dvMdt1N9zEdIi+w7pzHUmFpkiIQVr
xO2zeNKKYNjFM1ET4TFyVkuvJWD27f5SI4JWiaR9ImozshHtDRaNipMwnOqNwzXBoV/nIhg3icqj
xPxsOckl6RKETi0cZi4RfASQANjxQ5XWt0B/5FnWw3rNwhxjBuQppplTwwAO00UW5RtVbZYViisV
OUNUeOd1gouDQjYRqMOVSnahNwjJWCLhKPv+MonVcW3L8Ref5MQwyY5MubNOw8I6V53kIiCRiUVG
Y4vcJosiaGgi3/F8Mh/Sn+C0IRlSSYoUkqNYZEm2yJdMEifdMj43ZXWpiozKjzJn1ossC/wHWG2R
eUFWxb6qqZeenqSQ9cZ+ijb/x850P0NPw749p4IwksyNIqvjWKRtB8U5J+lzx/KhEFmgOsaYGCAK
I4sM0Re5osOwTlvSR5U0su6QLNFEZtmGlQ4SpjRXEWknzdcznTQ08H1r0ovMNCZFlUlVR1JWV6iN
gxaHAwRyZBKR2BokuFRQRQKRflBF7quQBJtOs6xFVlyktktnvv1QkjC7JM6tX23kx0w6t9eIaIFd
s5IPMcl2bwXS2if9DkQeLtf92iQxb72YXBRCuRCpjqdmijFVLDL5UfY3o8jtDbjUaLvE373RvSly
D+SZogJYFzWB3g/vy9y49DKqBbKoG0CtgIgvagkdpvSrmvKCJQKgsRg/DKLygONETgboXfdaMG9E
cYIiBdj/dqHn5Rr3M9ifiu9N8R0fllpngrIzM2OBMNRtQuEDQdUtbPFg2YuaiE1xBCrzJ5ViyWhl
/KkazPVWX5SUU2A/ngWUV0IcDVYjk2jajahyYCO0RFTtDiuOjeGxZ/eCO0i5plDKB3LsTU0ZBzTd
3BJ1nWpAYJNCT2ZjpxiRu/SUgNwIYjslIdmrF3rLJJDZj0TNyAIyOzNEHakfrJucwhKe4fgmslEG
mplhCGGtWNz9pKYcpWjkzn3lXJYO8aJKySpm3kK4R1vdEqFWq4LWQTC7BPg1Ma0xW8qDt+XsLOdZ
4DcgOIZsLuMLcGnbkr2UwFIuy6q8DSLl2kibGCUo55Ni1V9CkLQTVH16RK8oskCkAqrQoz6k2t80
8BfL0ikXPN83dHEyijHZfeUC83NCIPKpr40XaRQaMzcvrjjzNp3Od10OncFBTqwGqKblUgatrrl3
zQhrF6u416DuhqFTTV3JjWD0uxsF5PtE9waa+JnTzry+1iE2QJVklRVT1zZoYMqssjyg7hSgk9V4
qwEh3bnFPinBWeuk9HrIMIoMpPArNkh3Bqx3zU9oIrvRkjiCd+C21wpiNdOiLSxk6K3TvBacvlQH
y05oNIVNOVAvUKpLIUnuDcl38BvZFMrgJeajKNFI3rmMwceUPOc7gmVka7rzpRMcW6kAF+ml5jby
oWTkEGHkonE/lHa6YTfHyHqjt/7SD3QD96GGlEHGeKm4yGIQ/Cb+lLLngfUv2pFswyn8XXfrP3G0
QVj5izi6ibclvZA3Cp/81XMcrSBHbissA2hXwo2diPg5joaNBs5FBu3ioF73QqnTPEFa3CJYNuTn
yvZT+VozTigyEwHZ0NWB5Oi/5cf+VhyGGzsKYi10Q9BEQTP9ZRztuYVcpFT+LjB1YjMKmq8Qy+mw
RrU1kdt4NpSxKAgGU/xPNwGyIDND6appmbZXsLpOLcelrWaoCFYC6ayk4IzkcTNYYzfJ1OBalqP7
liIKZMkWPKfUYRfTqZtsLEDlyaY3Tar8Eq2rz+yNX9VKv0XjCzsJ3yHuEQRRRxoXsS5JcwSi4MpC
XLUwjZngAfinYadf8yH71PqBSiyKcIlrmn+WBfKWffq5dqTPbjrglYr6lhZs2sg/r7Pga5XZySRw
rCsqU9haefY84YdNhjgwl6qa0ZLMvqAlBWo21CjA12SoRdytiPs+DSpQNa/uFro+1jM1xFlI7wiG
EDq8L3zItSAVzqs6vunSkf6RZ8yNyP6YBc49EhRXAY5hsHmgPMleWM/drruw8/ZWjtI75EW+uAXS
wFl6h+C8M22i0ps3KPutKmQ5ISSvUJuBWOF9jVW4PHlsgw7G44xtMLvrFIe8HyuGZEBUMVfhgg16
QshbsDXSVT+vK4hmugswMZ6NnEiLIesWctkhhOOsPNX4OIztdwymHhCRvtECjxrueIupMIxdi4fk
JTlyaRB/4y+LIFqBD0NhfiD43fhO/z0OHTTyJIjnsivjmI1+Mnzdz7pnfNTrwQUQHd3onvq9Uc32
dAjEn0NLWehac5tIzarKfKiFWCA3NcwkEqWQZCv+kulhtEDD/EL1DRnKL+oqhZBqlHVJyJ0tZAuc
u2nLy6L2of1FUKCanLeGCQskH8OEPk0EVYz2wgyqaulWOGy7SbEWzAdIjhCfjG78aAEt71Jj0RR6
MdVHRDvx8wLVVfc0qxEHnHEiEoFYiDXbI5N4qHiHiZp7864crzOv5K6pvfDcduHKzfVoa+ugo0Nh
qWRVVeF6My8OMbhrors662/tNMDk0sy/yUpW4ujiTsuux6ldDlZmgft6JvkrGT+ymWRF6VSWMyDW
8lKREdmuZMlZYTczTLTWfsA2+5ySWjuhGpTP4Xedmt4woEfbpnMv6XEjM9auirc3szGZmFr9rRJi
ZHKpmDAz8vEq6U31TE+RguxR3/BOY9XxsfSOus+qDadpXkqVH/zJMLj1pVpbXjc38fxemG4ipzcW
4OtsBtB51FBAjAXw3cY3mEMyMBGkC/wrrei9LxBn5lXMFJrovu5e5HCYwpp4yu56ikjeyreIwvxC
lvC/MfoPcizhtVYE2JtYrQZpwY7HGclTVZxCpXfRcQn6Gp09GXlZ1Ie0KZK+H7LM7IslQkjqbdSR
/Gxi+JbsM7GvzHrTupO9BhvCyBxKut6dmznCMEs3ClQIVcu7kWsrrr6obutRxdRG1Z8VcmK6XyMj
QPhSVtEwJg/vkZZ8PCX+c1walIJ+flz+yTnZ7KNoiz/767y0T0xNVSEpyQrCMcLY48V56RggiHXH
ltkI/6o7afqJIytQdeB1Q8h+1Jt+Pi+1E2h7qknNSYagIb76DTG1l1gkgVHFfwqvT8w5FcMh+np5
Wvay5LVlmXJaioOBajfkD7p7yeSHcbnalbF+ZGor8pvyFiQwmOAYKlNoU+XXHgNKDODbDPUclV3D
+QTBmTpHYsXDuKIihmaXVqeNfloRKF+HKlUesLtoqNjoYOdZiDUEfd4zBQ+2SW6VRn/lI4CsDRmK
0+bgWdVZG4WV9rVlI7evOrdoW1gEUCRavQ0mZiTF6ODHlTIP8jxT51kXN1A6JA++bFC5KRH+gHkP
YobyrErvjFjvMLfM40u9ocQ+VfIohi/g9hpmSqQJsSB/k81k2qXcClJ4G4eXpeCJJzkAfd+50hT5
wYBJniLw6cIst2BhpzDNDUE5V2lAglsM5o7uLpyENlhy6mK/Ds83QZ8L0no8FN992/84QmZXILU3
WnuNwxbqpXoZfrEirCcFnHcjWXmJtohhruPA2eQIceCIqIJPkiTtux5W6Up3UY5Ia+yiMU4sJkEs
QZPvhLGFc1GlFQokqk3ygIzHsk6tT4Mi3YKex9Iv9KFx1bWnWhPEUX2mBeKpBGPB3NbFJWp1oURm
+anUa62fmXbqf8T1j96yhUqb08v9rR6DTLWoJNXwY9HX0KWSBqYxfizM2l77Ero7v55jqgDdvKig
Uo4FOEERjUhTRKcv53IxlIXn9XZ5gZjnllxQuR6vrQl97Gm9Slf0BPyZN4e2PS/nILjW+kKbqyt3
+g9NC96AyEB9E9I6piGCXbRBXz4HVLauQWclu0AmeT3EWFFFcG4nOawFWh2RMy9al3ananKguba8
8azSXSu8IzMq6LVbYBFdfKJsdfxa95mzqFRMYes6X7j2+NUyYCOGruRjI91/LmK6m2pZ4PZUhdqM
ZJo2j095A+vIObCLJYIr0xBr7ULH0Gc0nNWoURpV1SWERNR96pJJ4ejTNklXIc37jHbGBAGoedd5
56obETcjmTPD0gsHkrCasYgvOhL8ZeHB3YHB8MlDJpHGyQaZalnI9CzliIlmOQWdWzm8/vUrfrmJ
PMGuZIApOmoSpua8iu2dUe2cPHHLC7nF64WNANfMEp1UKfDnmI2iMFD8I4rmfszdD/d89TalvrXK
NvKqi8LTMNWmEdmgCjhW1kpPmk1WuDRHTajuVgETKa5QttPT4XyEtIwgk3GeBfatHMABbivpO2c1
0rgFrD/zg+yOd4ZXfE06WHFFWuQ7LON/zmTBFfr5mfyFDumeBJa/eT6QhUwbTRvU2xzyQ5qdfx/I
qnpCi4gcFQSUzGZC2vvUCMISG6KhDi1SwVUVjBRT8/lARtxNQWzNhuZB74ZE9ncOZHo9r7cxKtGm
TpmJkEEFDMZD/IhBrcsuTGM1RHigJhWluYxrYnlTq9jAhipp0aik2U3QKjGRbJJcV8LJDjIuXlOj
i70S+k+oXGJ4V+jahVB5mRMz0++3wgdtBCtRqzjl+VjmOU2Hy51w0YuEn56DvPk0SaATOo2b3ehV
uyllYs8aI7428Ol3ewVAWOHSp3gWwpXwmucedryzSlE+JcLVL46B5ITsDsiAnWoY/3kFDoC98AKE
1R5cxsIfkDAIzRGzWzlYB6bCQ7AQboK+8BVEQbuZIugOH5QhuAQA7GJeVzsrgBBURTugpvWjDqJQ
RIw9tBFh38JHRC4xqxDX1POQpleTnDe0ayKkFTuhsVgjtugI1UUD+UW50eeR5clz1WvXEQKNlDUx
klY2mVBulIWGI/4VCe7e/lcDecfedPoJLOfPXhF9Fm3nObJW3cRFFLIW6pCa0InUUgXjTQ+Dx5GT
XjLRrBSqkn1qrs0Sa+96pAvmCOnJWohQ+m4nT5AP+MKLDqeOmV9nknuho1xpo8GvudTCdTQtXbQt
ARy158BU0L2qIb4V0BdpnVPlc8cLI+OV1nk/K1DLjFDNVLXy84iKpuTCe8f1eB2hr2kKoU0qlJhH
e+ihSZ16CkccNhpGkiCunEswh0ieJjp9NvM86xHxzIScp4GuZ+6NHzCXB+Fl0WXvkf5shQgo86Of
mnYR2ZeIkIfaN1mFV3tqkZjPkfI6k1x9pPAOzGUWG5Rgfct4kKpogQgVehTSsDAxtJ5AyzWorcdr
bMFKkGq0xNREOdcsvEligXJxZYUT27CD5WBEc7uAFlpJI0LbhtFOW7uEd+dFd4Wa6zDE0ZEPAOXM
s9BZUKQhmY5GBpnw7hSaCuhxA6P4jgU+hbe+0rz8Y5ymPTNbP+1thL7yKJFvUh8tAFfXV0qWAm3E
2JqTzEwQqe6wk5TTiTa4D8OgrgL8Vk8jw7gpa5feWlpPrUibWpZzgfJrjHi5YSJ/18gTKzZPJbvU
L616oGGJdtwUh0lzAYztuo2EgG5tnMtBhw1aOqDHIhnrMm6CtTJkZ4UeK6dFhteAV8PT0m4rxb2U
Om/RjUjgUqoBjlkG0RRjlGU1UCmmGjyzi/ibHxsLO8tZ6iyTPLd6Bjb5mvvVure6/DSSLHsWB4py
6Xe5Ro1C8j9SSvXW+CxgcGm7F20hYUrqIIc7OIiN4RZLmk5zxwXmOCgIlA5FTg1mGNGkUVV3JRc1
WuBVpi8Hz3VmMkzy07xIzzxfRsbGa7Q1eMBxXYSKtNQzNBayIv9gSlTJx2hYS7J3m0uJdqWGMMHZ
/UADBroz9aN8LVGU8noPClWYfyms0Ptepcgl+SzjD1YYPkAHBXyTOhqttMdj4//B+fn0iHv9mv4S
yhbfXmUIEt1k89eOT//UP3pOGvdf6LcMoITs2IsT+fHBHi2ofnmdeIuRVHOPxRTHK5BolYyXErH4
cOjFWeo9fS0hxXJC9QvTSJ3jknv9MEY/G4Vf/8CPb7yx3l7nlw//ukYuSIMHDoKOBSjRha0hFis+
DOuLQaD0jv0UmHGy9KMcA3X3cnYMr78m1m9OBLxOVcTn8RbbNwaEaNQ8dJmKxZEOgrJ7sEMGwTwB
iIR2ngVZ+fHzeiKI5eKYiGiTex7lTJBf47X+lS2BCBhhU5K9xw8/9eVqAIDFxzCs3co7wi3h8EFw
ThzNpHIGY+TxQ9rxYhDYF/FjoNml7bKi4xsEeTdFD1sO0O6opihPg8D292IQ6DtaNlAGW1AI//3L
4cf006AV+vhMv/f7+YF/n43s+qAWTUdxdlsida3XPx9oNQVcMtrHzzEMApvgyxNSrOJ/YSREIPDj
UFAnhxdF7efx82Y5cDpweljmsR4OMi/vwCiBcoMoT1BMfzUP2Ass4EB4d+8myu5Wx7cjCAHbA8dA
p04jAxhgTew+r4aCHQE+nCa6Dc/f//v3hTdLgjLUbp7+3ubwckmAucCph4DoJ8ekKHexfShEVEe5
L1BsOzxyZhBMWWNj0H8SNconfMmMsRlzPsc6FE+n+CHzQT2hk4fgoiCPvjwmrBMF7DvpBWeS+Bzp
dJDfYzog3Yn/pLJ722+zSfVEJtMyqf4e6SC8oRn/dvwMLZjImBdO4/nxI7aNFym1esJskKEZH2tK
LbBbBx4U9gn9QMdBznw3518vCtJJRdNtg8b8kc4E+eCcGu64JVqiqhgJ8XkTNekndOQ1oqbdcXR8
IYOAExw8EyyVlqz6FDmK7e/lciB6EshBvEwfl8uxHhHCVujAoeC0pMmloAj7egxYDYA7Le0JJnp8
E+END+xf2ReRNjBlA6/C3eftIBBPKYRMsP75HOtEeOPz+NtDoTlsfvgBEhruRuLN7qicYB+hAEI6
1iNCOEIctho4Jx/lo4FUvZ4I1GNNOrtEjs8ThVsd4Zo4+IQQE0FXKLBgIvL4eRMrkERAgLSJJ470
mFR2y/TAyJmo2QCEvhuEN+V3gyzDYJTIvsXnWDcGIUR52JqgHWPTZeAwfCo5vR4KkkqK0wyU+tce
epRLQ9lN10NmhXGCHptIr3cvXbz1F3EDpQYRYrKR7mKU49sfnpKcAwZBRJCaAIk+193eBE8qIFcW
h3y8+8PhWaV5wjumuqg/5c+vB0EUnfiO0/RoZ8J7hNFYCZi06J5Oijc7w2P9wdR1UZ48zj3h8KyS
Jc/mZ0Fx2p0Ub45LFZNQQ0FF62jjpoNjBuImQgZOiF2U/LZbLVr2fK1Tpj3WmXD4ctBPSCSQ/3ne
E15H0Ip9gkEZBXtmyzHHDE/ljwPOCM08AcFB5mg9Fd1eH5TMB44H9gVlF58c30H59GCHDALkSNTs
GYKnMsPr+UC9Ccqk6Fwca71JO3hn0CwyKlm2hJTJc+L0ImR6hNnKxBPasc4EobV9YAhtnTDVWQzI
JT6v/BeDQLTgmCjOcJA+D9JRHpcCH33wUDjYMwIU/UkDm52B3o2CIubuXse3Mzz1zg7ZGUSKzYu2
rKfs8s32CK8LmoGGW9aRHpdP1eFDBsHCB910TPpwuzn/ZnskqMCImdNy18g72hT74EVBSsVyECz1
pw412+6L/YFFYUBnwu3qaBfF4SkV0RH4rb+mw5vOBJsk/rHUIp6q3ke4MxyeTZgnprWjc+5OCt73
y5lAFdYwKb0dLarlqfRxyM7AizZRG9aEQIT47BkEhDxwDDraUrSwNz7woAT3aVBvJ4rebY+vKwyU
3XBllqG+HmteKVAHBw6CRh+OyqNt/gTQAgoauWuMrY+2APtGZOX3OzPUmjQI4PDUdsvhdbQgNkaH
AFt5Cs+Ob2MUwjAHzwRo8QZMuN0YvC29Ek5AGKDedqx5hLZrqB+yMdrAOABC67AfHj9Eh69PBzQC
+D+K1OJzrCGTdnixheSa1FpXwf49fvacEapDfdZxjhzldfgmacCCUE0ORBJt8Xm9P4jiG8sG1N/R
Lo3dgx2yNB5TbEh1z8flm6UBGli1SbvQlBJ70fFtkk8PdtggiPIileifpVTKiTgniJyOFut2+CZJ
7dECsiE/J1Nv8koAf+QRHKfHGjg9RXSHzASRTBE4CWGY/XsCg4DQDIDbYx0EIdlxWMwg0Bx06Tgm
ntLqPXuCYI8BDD/aPeHw08Gi8yKD4jJ/1p+ifY/cNajI3b2Ob2N8I7z0+yE0oEYQ35r8M+jnYwgN
hMF8Yigd4SAcXltAfAp7XTHj34aNfGHh6vwb6+CfGKK/uMdTP4jvH6nJSBo/UkB3lNt/+A+eebtv
L/ADo+iRV/XiX94M+cPu2jvekfjf/7O9T4J0FlR1GdzV6mMA8MO3zwHB452e/v7pJ769+YubPf+u
5/+4Ch7KbXnnD49fDE8PerFN4Db/b8z/u9/u50P9/TT//V8vH/aHnfDXV0fB9eH1xUX8+/zfxA/7
Vy+ebO+z8vlCp/f//V8UrzUuzpw5+MknTV3ve3CigYOvPd3G25ZXUj1f64dnJ2s4/PpZ3FRvXikD
Q0n0HS6e1uX2j2m210pMrOSDbzF7iP+4yMq9409wcPD15/Efs6xk8jxf64fx50Q++PqLEpn0fRfn
PDv44sv4IU2fr/PDg5OwHHztVZN8y+L7+vlSf19eIFkPvvxpkj+UwTZ+vtQPl3+PJXuaDnsGXRDe
D37ys4dyz5iL3sfhlw5Sb89GoLzHWj3fRnv2MMFDPvixz7dV9bBvTN5jgZ5n1R//m3oP8cO+kXmP
JbrZ3rMBP4/DDxPxPZboZlsG+4bmPZaouHae7dvdBSrg4Ne6eUjvs7tg3+4luszvcP3y7uH++UJ/
j7vo3h5+8Yxnf77OD9d+j2W6yfaOyXusUi5dP5QPw54nf4+VerHN90x0wSc4eMAvHtrt29gRp6/3
WKKX5ZYt4Pkpf3id77FEr+Lt3cOe2FEUJA8elqu4SfYFd8LM9OCLfwwIHavgfs/IiKbGwde/3t6V
pARpvecsFQ2Dd7hB+sfkAfHtfTd4j6V6vRU3KNNteb93IxNaSO/yK2bBg7fvR7zHqhU/YsEKuAuq
u333eI/lK+6xzrZFs++0Eh2Rdxml8yao/rj8FlT5vt/xHotZ/I7Ntn7Yd/33WM9cHyflybb8tt0X
MwjFiPcYKe4xxeFiz2YtCvHvdYeyGZ8v9veeqr/Lwv6VvfSjCtwByf41NYy9Q/MuizmoomDImj0D
8y5rOYu3+6IHUek+/LUSmOxzFxQasIdfvN4iQhlvmz1xuP4uS1eUWfacw4I+evDT/9J48dAJeUOM
H9R7gjbRJjj80X/ldXPwozcUiJJ9dTmB1zj42X9tPHDow/9CQvngSzff9my+xj9epfvKsn81dN8W
a5/VHff92ctatPgXd/HDtvyf/wMAAP//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0</xdr:rowOff>
    </xdr:from>
    <xdr:to>
      <xdr:col>21</xdr:col>
      <xdr:colOff>2604</xdr:colOff>
      <xdr:row>38</xdr:row>
      <xdr:rowOff>30480</xdr:rowOff>
    </xdr:to>
    <xdr:sp macro="" textlink="">
      <xdr:nvSpPr>
        <xdr:cNvPr id="4" name="Rectangle 3">
          <a:extLst>
            <a:ext uri="{FF2B5EF4-FFF2-40B4-BE49-F238E27FC236}">
              <a16:creationId xmlns:a16="http://schemas.microsoft.com/office/drawing/2014/main" id="{34D28F21-C798-E1D3-65AA-75986C3B51EF}"/>
            </a:ext>
          </a:extLst>
        </xdr:cNvPr>
        <xdr:cNvSpPr/>
      </xdr:nvSpPr>
      <xdr:spPr>
        <a:xfrm>
          <a:off x="2225040" y="0"/>
          <a:ext cx="10952544" cy="697992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30480</xdr:colOff>
      <xdr:row>38</xdr:row>
      <xdr:rowOff>30480</xdr:rowOff>
    </xdr:to>
    <xdr:sp macro="" textlink="">
      <xdr:nvSpPr>
        <xdr:cNvPr id="3" name="Rectangle 2">
          <a:extLst>
            <a:ext uri="{FF2B5EF4-FFF2-40B4-BE49-F238E27FC236}">
              <a16:creationId xmlns:a16="http://schemas.microsoft.com/office/drawing/2014/main" id="{39ABD285-48A6-4E8C-31E6-469861CD82B1}"/>
            </a:ext>
          </a:extLst>
        </xdr:cNvPr>
        <xdr:cNvSpPr/>
      </xdr:nvSpPr>
      <xdr:spPr>
        <a:xfrm>
          <a:off x="0" y="0"/>
          <a:ext cx="2232660" cy="6979920"/>
        </a:xfrm>
        <a:prstGeom prst="rect">
          <a:avLst/>
        </a:prstGeom>
        <a:ln>
          <a:solidFill>
            <a:schemeClr val="accent1">
              <a:lumMod val="75000"/>
            </a:schemeClr>
          </a:solidFill>
        </a:ln>
        <a:effectLst>
          <a:outerShdw blurRad="50800" dist="38100" algn="l" rotWithShape="0">
            <a:prstClr val="black">
              <a:alpha val="40000"/>
            </a:prstClr>
          </a:outerShdw>
        </a:effectLst>
      </xdr:spPr>
      <xdr:style>
        <a:lnRef idx="3">
          <a:schemeClr val="lt1"/>
        </a:lnRef>
        <a:fillRef idx="1001">
          <a:schemeClr val="dk2"/>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152482</xdr:colOff>
      <xdr:row>3</xdr:row>
      <xdr:rowOff>89664</xdr:rowOff>
    </xdr:from>
    <xdr:to>
      <xdr:col>1</xdr:col>
      <xdr:colOff>1451979</xdr:colOff>
      <xdr:row>5</xdr:row>
      <xdr:rowOff>45418</xdr:rowOff>
    </xdr:to>
    <xdr:sp macro="" textlink="Pivot!H4">
      <xdr:nvSpPr>
        <xdr:cNvPr id="6" name="TextBox 5">
          <a:extLst>
            <a:ext uri="{FF2B5EF4-FFF2-40B4-BE49-F238E27FC236}">
              <a16:creationId xmlns:a16="http://schemas.microsoft.com/office/drawing/2014/main" id="{183BE182-E2F4-4F61-F298-24998D58B7D2}"/>
            </a:ext>
          </a:extLst>
        </xdr:cNvPr>
        <xdr:cNvSpPr txBox="1"/>
      </xdr:nvSpPr>
      <xdr:spPr>
        <a:xfrm>
          <a:off x="274402" y="638304"/>
          <a:ext cx="1299497" cy="3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D1DB8D-5502-48CF-906B-8E9B5151059E}"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rPr>
            <a:pPr/>
            <a:t>2,400</a:t>
          </a:fld>
          <a:endParaRPr lang="en-IN" sz="1800" b="1">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1</xdr:col>
      <xdr:colOff>152482</xdr:colOff>
      <xdr:row>6</xdr:row>
      <xdr:rowOff>104301</xdr:rowOff>
    </xdr:from>
    <xdr:to>
      <xdr:col>1</xdr:col>
      <xdr:colOff>1451979</xdr:colOff>
      <xdr:row>8</xdr:row>
      <xdr:rowOff>60054</xdr:rowOff>
    </xdr:to>
    <xdr:sp macro="" textlink="Pivot!I4">
      <xdr:nvSpPr>
        <xdr:cNvPr id="7" name="TextBox 6">
          <a:extLst>
            <a:ext uri="{FF2B5EF4-FFF2-40B4-BE49-F238E27FC236}">
              <a16:creationId xmlns:a16="http://schemas.microsoft.com/office/drawing/2014/main" id="{EC4FB58A-ED83-4B88-92B6-5588513CFD19}"/>
            </a:ext>
          </a:extLst>
        </xdr:cNvPr>
        <xdr:cNvSpPr txBox="1"/>
      </xdr:nvSpPr>
      <xdr:spPr>
        <a:xfrm>
          <a:off x="274402" y="1201581"/>
          <a:ext cx="1299497" cy="3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A19475-C2E0-40D1-87FE-A78D14228F0E}"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11,997</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152482</xdr:colOff>
      <xdr:row>9</xdr:row>
      <xdr:rowOff>116315</xdr:rowOff>
    </xdr:from>
    <xdr:to>
      <xdr:col>1</xdr:col>
      <xdr:colOff>1451979</xdr:colOff>
      <xdr:row>11</xdr:row>
      <xdr:rowOff>72069</xdr:rowOff>
    </xdr:to>
    <xdr:sp macro="" textlink="Pivot!J4">
      <xdr:nvSpPr>
        <xdr:cNvPr id="8" name="TextBox 7">
          <a:extLst>
            <a:ext uri="{FF2B5EF4-FFF2-40B4-BE49-F238E27FC236}">
              <a16:creationId xmlns:a16="http://schemas.microsoft.com/office/drawing/2014/main" id="{9D96235B-AEB7-44F5-BE2A-1274B96E51F3}"/>
            </a:ext>
          </a:extLst>
        </xdr:cNvPr>
        <xdr:cNvSpPr txBox="1"/>
      </xdr:nvSpPr>
      <xdr:spPr>
        <a:xfrm>
          <a:off x="274402" y="1762235"/>
          <a:ext cx="1299497" cy="3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0B46D4-7C16-4003-B89C-DAA6F23679B6}"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$649.0k</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152482</xdr:colOff>
      <xdr:row>12</xdr:row>
      <xdr:rowOff>128330</xdr:rowOff>
    </xdr:from>
    <xdr:to>
      <xdr:col>1</xdr:col>
      <xdr:colOff>1451979</xdr:colOff>
      <xdr:row>14</xdr:row>
      <xdr:rowOff>81462</xdr:rowOff>
    </xdr:to>
    <xdr:sp macro="" textlink="Pivot!K4">
      <xdr:nvSpPr>
        <xdr:cNvPr id="9" name="TextBox 8">
          <a:extLst>
            <a:ext uri="{FF2B5EF4-FFF2-40B4-BE49-F238E27FC236}">
              <a16:creationId xmlns:a16="http://schemas.microsoft.com/office/drawing/2014/main" id="{3FB68F7F-2C50-40DA-8AE1-B5B656A6BF2D}"/>
            </a:ext>
          </a:extLst>
        </xdr:cNvPr>
        <xdr:cNvSpPr txBox="1"/>
      </xdr:nvSpPr>
      <xdr:spPr>
        <a:xfrm>
          <a:off x="274402" y="2322890"/>
          <a:ext cx="1299497" cy="31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2C883C-8379-45E9-871C-ED31C61CB894}"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4.0</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152482</xdr:colOff>
      <xdr:row>15</xdr:row>
      <xdr:rowOff>98562</xdr:rowOff>
    </xdr:from>
    <xdr:to>
      <xdr:col>1</xdr:col>
      <xdr:colOff>1451979</xdr:colOff>
      <xdr:row>17</xdr:row>
      <xdr:rowOff>54316</xdr:rowOff>
    </xdr:to>
    <xdr:sp macro="" textlink="Pivot!L4">
      <xdr:nvSpPr>
        <xdr:cNvPr id="10" name="TextBox 9">
          <a:extLst>
            <a:ext uri="{FF2B5EF4-FFF2-40B4-BE49-F238E27FC236}">
              <a16:creationId xmlns:a16="http://schemas.microsoft.com/office/drawing/2014/main" id="{A5D38D74-6A7A-4C32-823A-E6435426DF7E}"/>
            </a:ext>
          </a:extLst>
        </xdr:cNvPr>
        <xdr:cNvSpPr txBox="1"/>
      </xdr:nvSpPr>
      <xdr:spPr>
        <a:xfrm>
          <a:off x="274402" y="2841762"/>
          <a:ext cx="1299497" cy="3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0B9752-34EF-458F-9FFA-73EBBE504073}"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2.3</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152482</xdr:colOff>
      <xdr:row>2</xdr:row>
      <xdr:rowOff>71284</xdr:rowOff>
    </xdr:from>
    <xdr:to>
      <xdr:col>1</xdr:col>
      <xdr:colOff>1274998</xdr:colOff>
      <xdr:row>3</xdr:row>
      <xdr:rowOff>155841</xdr:rowOff>
    </xdr:to>
    <xdr:sp macro="" textlink="">
      <xdr:nvSpPr>
        <xdr:cNvPr id="12" name="TextBox 11">
          <a:extLst>
            <a:ext uri="{FF2B5EF4-FFF2-40B4-BE49-F238E27FC236}">
              <a16:creationId xmlns:a16="http://schemas.microsoft.com/office/drawing/2014/main" id="{4080C097-C96E-CD09-1B52-5BEB36BE8064}"/>
            </a:ext>
          </a:extLst>
        </xdr:cNvPr>
        <xdr:cNvSpPr txBox="1"/>
      </xdr:nvSpPr>
      <xdr:spPr>
        <a:xfrm>
          <a:off x="274402" y="437044"/>
          <a:ext cx="1122516" cy="267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IN" sz="1100">
              <a:solidFill>
                <a:schemeClr val="bg1"/>
              </a:solidFill>
            </a:rPr>
            <a:t>Orders</a:t>
          </a:r>
        </a:p>
      </xdr:txBody>
    </xdr:sp>
    <xdr:clientData/>
  </xdr:twoCellAnchor>
  <xdr:twoCellAnchor>
    <xdr:from>
      <xdr:col>1</xdr:col>
      <xdr:colOff>152482</xdr:colOff>
      <xdr:row>5</xdr:row>
      <xdr:rowOff>85921</xdr:rowOff>
    </xdr:from>
    <xdr:to>
      <xdr:col>1</xdr:col>
      <xdr:colOff>1274998</xdr:colOff>
      <xdr:row>6</xdr:row>
      <xdr:rowOff>170478</xdr:rowOff>
    </xdr:to>
    <xdr:sp macro="" textlink="">
      <xdr:nvSpPr>
        <xdr:cNvPr id="15" name="TextBox 14">
          <a:extLst>
            <a:ext uri="{FF2B5EF4-FFF2-40B4-BE49-F238E27FC236}">
              <a16:creationId xmlns:a16="http://schemas.microsoft.com/office/drawing/2014/main" id="{09A828AC-1B1F-4614-BF9E-D25DA530B3AA}"/>
            </a:ext>
          </a:extLst>
        </xdr:cNvPr>
        <xdr:cNvSpPr txBox="1"/>
      </xdr:nvSpPr>
      <xdr:spPr>
        <a:xfrm>
          <a:off x="274402" y="1000321"/>
          <a:ext cx="1122516" cy="267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IN" sz="1100">
              <a:solidFill>
                <a:schemeClr val="bg1"/>
              </a:solidFill>
            </a:rPr>
            <a:t>Quantity</a:t>
          </a:r>
        </a:p>
      </xdr:txBody>
    </xdr:sp>
    <xdr:clientData/>
  </xdr:twoCellAnchor>
  <xdr:twoCellAnchor>
    <xdr:from>
      <xdr:col>1</xdr:col>
      <xdr:colOff>152482</xdr:colOff>
      <xdr:row>8</xdr:row>
      <xdr:rowOff>100557</xdr:rowOff>
    </xdr:from>
    <xdr:to>
      <xdr:col>1</xdr:col>
      <xdr:colOff>1274998</xdr:colOff>
      <xdr:row>9</xdr:row>
      <xdr:rowOff>182492</xdr:rowOff>
    </xdr:to>
    <xdr:sp macro="" textlink="">
      <xdr:nvSpPr>
        <xdr:cNvPr id="16" name="TextBox 15">
          <a:extLst>
            <a:ext uri="{FF2B5EF4-FFF2-40B4-BE49-F238E27FC236}">
              <a16:creationId xmlns:a16="http://schemas.microsoft.com/office/drawing/2014/main" id="{02330452-68B8-4D83-B4B4-4C2DD4A4AAF0}"/>
            </a:ext>
          </a:extLst>
        </xdr:cNvPr>
        <xdr:cNvSpPr txBox="1"/>
      </xdr:nvSpPr>
      <xdr:spPr>
        <a:xfrm>
          <a:off x="274402" y="1563597"/>
          <a:ext cx="1122516" cy="26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💰Amount</a:t>
          </a:r>
          <a:endParaRPr lang="en-IN" sz="1100">
            <a:solidFill>
              <a:schemeClr val="bg1"/>
            </a:solidFill>
          </a:endParaRPr>
        </a:p>
      </xdr:txBody>
    </xdr:sp>
    <xdr:clientData/>
  </xdr:twoCellAnchor>
  <xdr:twoCellAnchor>
    <xdr:from>
      <xdr:col>1</xdr:col>
      <xdr:colOff>152482</xdr:colOff>
      <xdr:row>11</xdr:row>
      <xdr:rowOff>112572</xdr:rowOff>
    </xdr:from>
    <xdr:to>
      <xdr:col>1</xdr:col>
      <xdr:colOff>1274998</xdr:colOff>
      <xdr:row>13</xdr:row>
      <xdr:rowOff>11627</xdr:rowOff>
    </xdr:to>
    <xdr:sp macro="" textlink="">
      <xdr:nvSpPr>
        <xdr:cNvPr id="17" name="TextBox 16">
          <a:extLst>
            <a:ext uri="{FF2B5EF4-FFF2-40B4-BE49-F238E27FC236}">
              <a16:creationId xmlns:a16="http://schemas.microsoft.com/office/drawing/2014/main" id="{8D9FC99B-1D36-4513-86FB-9391478A8834}"/>
            </a:ext>
          </a:extLst>
        </xdr:cNvPr>
        <xdr:cNvSpPr txBox="1"/>
      </xdr:nvSpPr>
      <xdr:spPr>
        <a:xfrm>
          <a:off x="274402" y="2124252"/>
          <a:ext cx="1122516" cy="26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Avg. Rating</a:t>
          </a:r>
          <a:endParaRPr lang="en-IN" sz="1100">
            <a:solidFill>
              <a:schemeClr val="bg1"/>
            </a:solidFill>
          </a:endParaRPr>
        </a:p>
      </xdr:txBody>
    </xdr:sp>
    <xdr:clientData/>
  </xdr:twoCellAnchor>
  <xdr:twoCellAnchor>
    <xdr:from>
      <xdr:col>1</xdr:col>
      <xdr:colOff>152481</xdr:colOff>
      <xdr:row>14</xdr:row>
      <xdr:rowOff>121965</xdr:rowOff>
    </xdr:from>
    <xdr:to>
      <xdr:col>1</xdr:col>
      <xdr:colOff>1625378</xdr:colOff>
      <xdr:row>15</xdr:row>
      <xdr:rowOff>164742</xdr:rowOff>
    </xdr:to>
    <xdr:sp macro="" textlink="">
      <xdr:nvSpPr>
        <xdr:cNvPr id="18" name="TextBox 17">
          <a:extLst>
            <a:ext uri="{FF2B5EF4-FFF2-40B4-BE49-F238E27FC236}">
              <a16:creationId xmlns:a16="http://schemas.microsoft.com/office/drawing/2014/main" id="{9A55212D-4084-4C17-AE2D-81343D78836A}"/>
            </a:ext>
          </a:extLst>
        </xdr:cNvPr>
        <xdr:cNvSpPr txBox="1"/>
      </xdr:nvSpPr>
      <xdr:spPr>
        <a:xfrm>
          <a:off x="274401" y="2682285"/>
          <a:ext cx="1472897" cy="225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📅Days to Deliver</a:t>
          </a:r>
          <a:r>
            <a:rPr lang="en-US" sz="1100" baseline="0">
              <a:solidFill>
                <a:schemeClr val="bg1"/>
              </a:solidFill>
            </a:rPr>
            <a:t> Deliver</a:t>
          </a:r>
          <a:endParaRPr lang="en-IN" sz="1100">
            <a:solidFill>
              <a:schemeClr val="bg1"/>
            </a:solidFill>
          </a:endParaRPr>
        </a:p>
      </xdr:txBody>
    </xdr:sp>
    <xdr:clientData/>
  </xdr:twoCellAnchor>
  <xdr:twoCellAnchor>
    <xdr:from>
      <xdr:col>3</xdr:col>
      <xdr:colOff>232979</xdr:colOff>
      <xdr:row>1</xdr:row>
      <xdr:rowOff>107674</xdr:rowOff>
    </xdr:from>
    <xdr:to>
      <xdr:col>9</xdr:col>
      <xdr:colOff>0</xdr:colOff>
      <xdr:row>15</xdr:row>
      <xdr:rowOff>83820</xdr:rowOff>
    </xdr:to>
    <xdr:graphicFrame macro="">
      <xdr:nvGraphicFramePr>
        <xdr:cNvPr id="2" name="Chart 1">
          <a:extLst>
            <a:ext uri="{FF2B5EF4-FFF2-40B4-BE49-F238E27FC236}">
              <a16:creationId xmlns:a16="http://schemas.microsoft.com/office/drawing/2014/main" id="{0AB41770-8D8C-4D4E-9FF9-252FA5B52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289892</xdr:colOff>
      <xdr:row>1</xdr:row>
      <xdr:rowOff>115958</xdr:rowOff>
    </xdr:from>
    <xdr:to>
      <xdr:col>15</xdr:col>
      <xdr:colOff>121920</xdr:colOff>
      <xdr:row>15</xdr:row>
      <xdr:rowOff>91440</xdr:rowOff>
    </xdr:to>
    <xdr:sp macro="" textlink="">
      <xdr:nvSpPr>
        <xdr:cNvPr id="11" name="Rectangle 10">
          <a:extLst>
            <a:ext uri="{FF2B5EF4-FFF2-40B4-BE49-F238E27FC236}">
              <a16:creationId xmlns:a16="http://schemas.microsoft.com/office/drawing/2014/main" id="{F1617EDD-7CF0-A18C-5600-99E64CC0BFAC}"/>
            </a:ext>
          </a:extLst>
        </xdr:cNvPr>
        <xdr:cNvSpPr/>
      </xdr:nvSpPr>
      <xdr:spPr>
        <a:xfrm>
          <a:off x="6149672" y="298838"/>
          <a:ext cx="3489628" cy="253580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endParaRPr>
        </a:p>
      </xdr:txBody>
    </xdr:sp>
    <xdr:clientData/>
  </xdr:twoCellAnchor>
  <mc:AlternateContent xmlns:mc="http://schemas.openxmlformats.org/markup-compatibility/2006">
    <mc:Choice xmlns:a14="http://schemas.microsoft.com/office/drawing/2010/main" Requires="a14">
      <xdr:twoCellAnchor editAs="oneCell">
        <xdr:from>
          <xdr:col>9</xdr:col>
          <xdr:colOff>398230</xdr:colOff>
          <xdr:row>4</xdr:row>
          <xdr:rowOff>0</xdr:rowOff>
        </xdr:from>
        <xdr:to>
          <xdr:col>15</xdr:col>
          <xdr:colOff>67257</xdr:colOff>
          <xdr:row>14</xdr:row>
          <xdr:rowOff>129540</xdr:rowOff>
        </xdr:to>
        <xdr:pic>
          <xdr:nvPicPr>
            <xdr:cNvPr id="5" name="Picture 4">
              <a:extLst>
                <a:ext uri="{FF2B5EF4-FFF2-40B4-BE49-F238E27FC236}">
                  <a16:creationId xmlns:a16="http://schemas.microsoft.com/office/drawing/2014/main" id="{36C858FD-77BC-82CD-F0DC-C463FC45C2F3}"/>
                </a:ext>
              </a:extLst>
            </xdr:cNvPr>
            <xdr:cNvPicPr>
              <a:picLocks noChangeAspect="1" noChangeArrowheads="1"/>
              <a:extLst>
                <a:ext uri="{84589F7E-364E-4C9E-8A38-B11213B215E9}">
                  <a14:cameraTool cellRange="Pivot2!$J$4:$N$9" spid="_x0000_s1038"/>
                </a:ext>
              </a:extLst>
            </xdr:cNvPicPr>
          </xdr:nvPicPr>
          <xdr:blipFill>
            <a:blip xmlns:r="http://schemas.openxmlformats.org/officeDocument/2006/relationships" r:embed="rId2"/>
            <a:srcRect/>
            <a:stretch>
              <a:fillRect/>
            </a:stretch>
          </xdr:blipFill>
          <xdr:spPr bwMode="auto">
            <a:xfrm>
              <a:off x="6258010" y="731520"/>
              <a:ext cx="3326627" cy="19583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415199</xdr:colOff>
      <xdr:row>1</xdr:row>
      <xdr:rowOff>99392</xdr:rowOff>
    </xdr:from>
    <xdr:to>
      <xdr:col>20</xdr:col>
      <xdr:colOff>167640</xdr:colOff>
      <xdr:row>15</xdr:row>
      <xdr:rowOff>45720</xdr:rowOff>
    </xdr:to>
    <xdr:graphicFrame macro="">
      <xdr:nvGraphicFramePr>
        <xdr:cNvPr id="13" name="Chart 12">
          <a:extLst>
            <a:ext uri="{FF2B5EF4-FFF2-40B4-BE49-F238E27FC236}">
              <a16:creationId xmlns:a16="http://schemas.microsoft.com/office/drawing/2014/main" id="{97A40AA5-3800-4737-88C7-03711BBA6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231965</xdr:colOff>
      <xdr:row>17</xdr:row>
      <xdr:rowOff>15240</xdr:rowOff>
    </xdr:from>
    <xdr:to>
      <xdr:col>9</xdr:col>
      <xdr:colOff>10160</xdr:colOff>
      <xdr:row>37</xdr:row>
      <xdr:rowOff>22860</xdr:rowOff>
    </xdr:to>
    <xdr:graphicFrame macro="">
      <xdr:nvGraphicFramePr>
        <xdr:cNvPr id="20" name="Chart 19">
          <a:extLst>
            <a:ext uri="{FF2B5EF4-FFF2-40B4-BE49-F238E27FC236}">
              <a16:creationId xmlns:a16="http://schemas.microsoft.com/office/drawing/2014/main" id="{5E3A8F47-868A-4391-9079-C124BFA79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519713</xdr:colOff>
      <xdr:row>29</xdr:row>
      <xdr:rowOff>110655</xdr:rowOff>
    </xdr:from>
    <xdr:to>
      <xdr:col>6</xdr:col>
      <xdr:colOff>566641</xdr:colOff>
      <xdr:row>36</xdr:row>
      <xdr:rowOff>16123</xdr:rowOff>
    </xdr:to>
    <xdr:graphicFrame macro="">
      <xdr:nvGraphicFramePr>
        <xdr:cNvPr id="22" name="Chart 21">
          <a:extLst>
            <a:ext uri="{FF2B5EF4-FFF2-40B4-BE49-F238E27FC236}">
              <a16:creationId xmlns:a16="http://schemas.microsoft.com/office/drawing/2014/main" id="{04523B15-1802-4047-897F-13B3BE9D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236220</xdr:colOff>
      <xdr:row>17</xdr:row>
      <xdr:rowOff>15240</xdr:rowOff>
    </xdr:from>
    <xdr:to>
      <xdr:col>15</xdr:col>
      <xdr:colOff>129540</xdr:colOff>
      <xdr:row>37</xdr:row>
      <xdr:rowOff>22860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95105C65-A739-4DCE-A827-9E30FCF964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96000" y="3124200"/>
              <a:ext cx="3550920" cy="3665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358140</xdr:colOff>
      <xdr:row>21</xdr:row>
      <xdr:rowOff>160020</xdr:rowOff>
    </xdr:from>
    <xdr:to>
      <xdr:col>14</xdr:col>
      <xdr:colOff>487680</xdr:colOff>
      <xdr:row>28</xdr:row>
      <xdr:rowOff>175260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DA31D279-D887-4495-A063-40C199A75F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656320" y="4000500"/>
              <a:ext cx="739140"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381000</xdr:colOff>
      <xdr:row>17</xdr:row>
      <xdr:rowOff>7620</xdr:rowOff>
    </xdr:from>
    <xdr:to>
      <xdr:col>20</xdr:col>
      <xdr:colOff>175260</xdr:colOff>
      <xdr:row>25</xdr:row>
      <xdr:rowOff>45720</xdr:rowOff>
    </xdr:to>
    <xdr:graphicFrame macro="">
      <xdr:nvGraphicFramePr>
        <xdr:cNvPr id="25" name="Chart 24">
          <a:extLst>
            <a:ext uri="{FF2B5EF4-FFF2-40B4-BE49-F238E27FC236}">
              <a16:creationId xmlns:a16="http://schemas.microsoft.com/office/drawing/2014/main" id="{27939C8D-2E23-49B8-B809-A8C8BB322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388620</xdr:colOff>
      <xdr:row>26</xdr:row>
      <xdr:rowOff>53340</xdr:rowOff>
    </xdr:from>
    <xdr:to>
      <xdr:col>20</xdr:col>
      <xdr:colOff>175259</xdr:colOff>
      <xdr:row>37</xdr:row>
      <xdr:rowOff>30480</xdr:rowOff>
    </xdr:to>
    <xdr:graphicFrame macro="">
      <xdr:nvGraphicFramePr>
        <xdr:cNvPr id="26" name="Chart 25">
          <a:extLst>
            <a:ext uri="{FF2B5EF4-FFF2-40B4-BE49-F238E27FC236}">
              <a16:creationId xmlns:a16="http://schemas.microsoft.com/office/drawing/2014/main" id="{51169831-4806-4F14-A0AF-36536A6DF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91440</xdr:colOff>
      <xdr:row>17</xdr:row>
      <xdr:rowOff>175260</xdr:rowOff>
    </xdr:from>
    <xdr:to>
      <xdr:col>1</xdr:col>
      <xdr:colOff>1722120</xdr:colOff>
      <xdr:row>27</xdr:row>
      <xdr:rowOff>137160</xdr:rowOff>
    </xdr:to>
    <mc:AlternateContent xmlns:mc="http://schemas.openxmlformats.org/markup-compatibility/2006" xmlns:a14="http://schemas.microsoft.com/office/drawing/2010/main">
      <mc:Choice Requires="a14">
        <xdr:graphicFrame macro="">
          <xdr:nvGraphicFramePr>
            <xdr:cNvPr id="27" name="Order Mode">
              <a:extLst>
                <a:ext uri="{FF2B5EF4-FFF2-40B4-BE49-F238E27FC236}">
                  <a16:creationId xmlns:a16="http://schemas.microsoft.com/office/drawing/2014/main" id="{60221B7C-8C50-46B9-ADFA-897AEDC3BCC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13360" y="3284220"/>
              <a:ext cx="163068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28</xdr:row>
      <xdr:rowOff>53340</xdr:rowOff>
    </xdr:from>
    <xdr:to>
      <xdr:col>1</xdr:col>
      <xdr:colOff>1737360</xdr:colOff>
      <xdr:row>37</xdr:row>
      <xdr:rowOff>91440</xdr:rowOff>
    </xdr:to>
    <mc:AlternateContent xmlns:mc="http://schemas.openxmlformats.org/markup-compatibility/2006" xmlns:a14="http://schemas.microsoft.com/office/drawing/2010/main">
      <mc:Choice Requires="a14">
        <xdr:graphicFrame macro="">
          <xdr:nvGraphicFramePr>
            <xdr:cNvPr id="28" name="Gender Value">
              <a:extLst>
                <a:ext uri="{FF2B5EF4-FFF2-40B4-BE49-F238E27FC236}">
                  <a16:creationId xmlns:a16="http://schemas.microsoft.com/office/drawing/2014/main" id="{EE3E3CEA-D2C8-49BC-807F-D3BEBB0822C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05740" y="5173980"/>
              <a:ext cx="165354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434340</xdr:colOff>
      <xdr:row>2</xdr:row>
      <xdr:rowOff>26670</xdr:rowOff>
    </xdr:from>
    <xdr:to>
      <xdr:col>14</xdr:col>
      <xdr:colOff>121920</xdr:colOff>
      <xdr:row>4</xdr:row>
      <xdr:rowOff>38100</xdr:rowOff>
    </xdr:to>
    <xdr:sp macro="" textlink="">
      <xdr:nvSpPr>
        <xdr:cNvPr id="29" name="TextBox 28">
          <a:extLst>
            <a:ext uri="{FF2B5EF4-FFF2-40B4-BE49-F238E27FC236}">
              <a16:creationId xmlns:a16="http://schemas.microsoft.com/office/drawing/2014/main" id="{8FE2E86D-3896-32E2-F0A9-0E9308817FED}"/>
            </a:ext>
          </a:extLst>
        </xdr:cNvPr>
        <xdr:cNvSpPr txBox="1"/>
      </xdr:nvSpPr>
      <xdr:spPr>
        <a:xfrm>
          <a:off x="6903720" y="392430"/>
          <a:ext cx="212598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i="0" u="none" strike="noStrike">
              <a:solidFill>
                <a:schemeClr val="dk1"/>
              </a:solidFill>
              <a:effectLst/>
              <a:latin typeface="+mj-lt"/>
              <a:ea typeface="+mn-ea"/>
              <a:cs typeface="+mn-cs"/>
            </a:rPr>
            <a:t>How our customers like to buy</a:t>
          </a:r>
          <a:r>
            <a:rPr lang="en-IN" sz="1000" b="0">
              <a:effectLst/>
              <a:latin typeface="+mj-lt"/>
            </a:rPr>
            <a:t> </a:t>
          </a:r>
          <a:endParaRPr lang="en-IN" sz="1000" b="0">
            <a:latin typeface="+mj-lt"/>
          </a:endParaRPr>
        </a:p>
      </xdr:txBody>
    </xdr:sp>
    <xdr:clientData/>
  </xdr:twoCellAnchor>
  <xdr:twoCellAnchor editAs="oneCell">
    <xdr:from>
      <xdr:col>0</xdr:col>
      <xdr:colOff>91440</xdr:colOff>
      <xdr:row>0</xdr:row>
      <xdr:rowOff>83820</xdr:rowOff>
    </xdr:from>
    <xdr:to>
      <xdr:col>1</xdr:col>
      <xdr:colOff>1326212</xdr:colOff>
      <xdr:row>2</xdr:row>
      <xdr:rowOff>106680</xdr:rowOff>
    </xdr:to>
    <xdr:pic>
      <xdr:nvPicPr>
        <xdr:cNvPr id="14" name="Picture 13">
          <a:extLst>
            <a:ext uri="{FF2B5EF4-FFF2-40B4-BE49-F238E27FC236}">
              <a16:creationId xmlns:a16="http://schemas.microsoft.com/office/drawing/2014/main" id="{B953946D-34EF-46DF-B065-BDD51E998E7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91440" y="83820"/>
          <a:ext cx="1356692" cy="3886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l" refreshedDate="46239.295608333334" createdVersion="8" refreshedVersion="8" minRefreshableVersion="3" recordCount="2400" xr:uid="{BD303553-4746-4BBD-8E5A-76627983CEFA}">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s"/>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20640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13603-747B-443D-B4DB-60F1340B2A3D}" name="PivotQuant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3:B4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D1AFAC-BFAB-4BF4-8D5C-8425E96FB197}" name="Pivot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CDE9B-A681-4693-8D39-72A5352A6A58}" name="Pivot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159:G164"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to 87"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47" format="106" series="1">
      <pivotArea type="data" outline="0" fieldPosition="0">
        <references count="2">
          <reference field="4294967294" count="1" selected="0">
            <x v="0"/>
          </reference>
          <reference field="9" count="1" selected="0">
            <x v="0"/>
          </reference>
        </references>
      </pivotArea>
    </chartFormat>
    <chartFormat chart="47" format="107" series="1">
      <pivotArea type="data" outline="0" fieldPosition="0">
        <references count="2">
          <reference field="4294967294" count="1" selected="0">
            <x v="0"/>
          </reference>
          <reference field="9" count="1" selected="0">
            <x v="1"/>
          </reference>
        </references>
      </pivotArea>
    </chartFormat>
    <chartFormat chart="47" format="108" series="1">
      <pivotArea type="data" outline="0" fieldPosition="0">
        <references count="2">
          <reference field="4294967294" count="1" selected="0">
            <x v="0"/>
          </reference>
          <reference field="9" count="1" selected="0">
            <x v="2"/>
          </reference>
        </references>
      </pivotArea>
    </chartFormat>
    <chartFormat chart="47" format="109" series="1">
      <pivotArea type="data" outline="0" fieldPosition="0">
        <references count="2">
          <reference field="4294967294" count="1" selected="0">
            <x v="0"/>
          </reference>
          <reference field="9" count="1" selected="0">
            <x v="3"/>
          </reference>
        </references>
      </pivotArea>
    </chartFormat>
    <chartFormat chart="47" format="110"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2FB693-F98F-4492-968B-177923D5FDD7}" name="Pivot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4"/>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9D5DE-1CC9-4A4C-9E29-E44266C22E60}" name="Pivotdaytodeliv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138:B15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BF59B-C63C-4FB1-9CCF-BD308D266E6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I47:J5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1">
    <chartFormat chart="38" format="0" series="1">
      <pivotArea type="data" outline="0" fieldPosition="0">
        <references count="2">
          <reference field="4294967294" count="1" selected="0">
            <x v="0"/>
          </reference>
          <reference field="14" count="1" selected="0">
            <x v="0"/>
          </reference>
        </references>
      </pivotArea>
    </chartFormat>
    <chartFormat chart="38" format="1" series="1">
      <pivotArea type="data" outline="0" fieldPosition="0">
        <references count="2">
          <reference field="4294967294" count="1" selected="0">
            <x v="0"/>
          </reference>
          <reference field="14" count="1" selected="0">
            <x v="1"/>
          </reference>
        </references>
      </pivotArea>
    </chartFormat>
    <chartFormat chart="38" format="2" series="1">
      <pivotArea type="data" outline="0" fieldPosition="0">
        <references count="2">
          <reference field="4294967294" count="1" selected="0">
            <x v="0"/>
          </reference>
          <reference field="14" count="1" selected="0">
            <x v="2"/>
          </reference>
        </references>
      </pivotArea>
    </chartFormat>
    <chartFormat chart="38" format="3" series="1">
      <pivotArea type="data" outline="0" fieldPosition="0">
        <references count="2">
          <reference field="4294967294" count="1" selected="0">
            <x v="0"/>
          </reference>
          <reference field="14" count="1" selected="0">
            <x v="3"/>
          </reference>
        </references>
      </pivotArea>
    </chartFormat>
    <chartFormat chart="41" format="8" series="1">
      <pivotArea type="data" outline="0" fieldPosition="0">
        <references count="2">
          <reference field="4294967294" count="1" selected="0">
            <x v="0"/>
          </reference>
          <reference field="14" count="1" selected="0">
            <x v="0"/>
          </reference>
        </references>
      </pivotArea>
    </chartFormat>
    <chartFormat chart="41" format="9" series="1">
      <pivotArea type="data" outline="0" fieldPosition="0">
        <references count="2">
          <reference field="4294967294" count="1" selected="0">
            <x v="0"/>
          </reference>
          <reference field="14" count="1" selected="0">
            <x v="1"/>
          </reference>
        </references>
      </pivotArea>
    </chartFormat>
    <chartFormat chart="41" format="10" series="1">
      <pivotArea type="data" outline="0" fieldPosition="0">
        <references count="2">
          <reference field="4294967294" count="1" selected="0">
            <x v="0"/>
          </reference>
          <reference field="14" count="1" selected="0">
            <x v="2"/>
          </reference>
        </references>
      </pivotArea>
    </chartFormat>
    <chartFormat chart="41" format="11" series="1">
      <pivotArea type="data" outline="0" fieldPosition="0">
        <references count="2">
          <reference field="4294967294" count="1" selected="0">
            <x v="0"/>
          </reference>
          <reference field="14" count="1" selected="0">
            <x v="3"/>
          </reference>
        </references>
      </pivotArea>
    </chartFormat>
    <chartFormat chart="57" format="0" series="1">
      <pivotArea type="data" outline="0" fieldPosition="0">
        <references count="2">
          <reference field="4294967294" count="1" selected="0">
            <x v="0"/>
          </reference>
          <reference field="14" count="1" selected="0">
            <x v="0"/>
          </reference>
        </references>
      </pivotArea>
    </chartFormat>
    <chartFormat chart="57" format="1" series="1">
      <pivotArea type="data" outline="0" fieldPosition="0">
        <references count="2">
          <reference field="4294967294" count="1" selected="0">
            <x v="0"/>
          </reference>
          <reference field="14" count="1" selected="0">
            <x v="1"/>
          </reference>
        </references>
      </pivotArea>
    </chartFormat>
    <chartFormat chart="57" format="2" series="1">
      <pivotArea type="data" outline="0" fieldPosition="0">
        <references count="2">
          <reference field="4294967294" count="1" selected="0">
            <x v="0"/>
          </reference>
          <reference field="14" count="1" selected="0">
            <x v="2"/>
          </reference>
        </references>
      </pivotArea>
    </chartFormat>
    <chartFormat chart="57" format="3" series="1">
      <pivotArea type="data" outline="0" fieldPosition="0">
        <references count="2">
          <reference field="4294967294" count="1" selected="0">
            <x v="0"/>
          </reference>
          <reference field="14" count="1" selected="0">
            <x v="3"/>
          </reference>
        </references>
      </pivotArea>
    </chartFormat>
    <chartFormat chart="65" format="0" series="1">
      <pivotArea type="data" outline="0" fieldPosition="0">
        <references count="2">
          <reference field="4294967294" count="1" selected="0">
            <x v="0"/>
          </reference>
          <reference field="14" count="1" selected="0">
            <x v="0"/>
          </reference>
        </references>
      </pivotArea>
    </chartFormat>
    <chartFormat chart="65" format="1" series="1">
      <pivotArea type="data" outline="0" fieldPosition="0">
        <references count="2">
          <reference field="4294967294" count="1" selected="0">
            <x v="0"/>
          </reference>
          <reference field="14" count="1" selected="0">
            <x v="1"/>
          </reference>
        </references>
      </pivotArea>
    </chartFormat>
    <chartFormat chart="65" format="2" series="1">
      <pivotArea type="data" outline="0" fieldPosition="0">
        <references count="2">
          <reference field="4294967294" count="1" selected="0">
            <x v="0"/>
          </reference>
          <reference field="14" count="1" selected="0">
            <x v="2"/>
          </reference>
        </references>
      </pivotArea>
    </chartFormat>
    <chartFormat chart="65" format="3" series="1">
      <pivotArea type="data" outline="0" fieldPosition="0">
        <references count="2">
          <reference field="4294967294" count="1" selected="0">
            <x v="0"/>
          </reference>
          <reference field="14" count="1" selected="0">
            <x v="3"/>
          </reference>
        </references>
      </pivotArea>
    </chartFormat>
    <chartFormat chart="71" format="6" series="1">
      <pivotArea type="data" outline="0" fieldPosition="0">
        <references count="1">
          <reference field="4294967294" count="1" selected="0">
            <x v="0"/>
          </reference>
        </references>
      </pivotArea>
    </chartFormat>
    <chartFormat chart="71" format="7">
      <pivotArea type="data" outline="0" fieldPosition="0">
        <references count="2">
          <reference field="4294967294" count="1" selected="0">
            <x v="0"/>
          </reference>
          <reference field="14" count="1" selected="0">
            <x v="0"/>
          </reference>
        </references>
      </pivotArea>
    </chartFormat>
    <chartFormat chart="71" format="8">
      <pivotArea type="data" outline="0" fieldPosition="0">
        <references count="2">
          <reference field="4294967294" count="1" selected="0">
            <x v="0"/>
          </reference>
          <reference field="14" count="1" selected="0">
            <x v="1"/>
          </reference>
        </references>
      </pivotArea>
    </chartFormat>
    <chartFormat chart="71" format="9">
      <pivotArea type="data" outline="0" fieldPosition="0">
        <references count="2">
          <reference field="4294967294" count="1" selected="0">
            <x v="0"/>
          </reference>
          <reference field="14" count="1" selected="0">
            <x v="2"/>
          </reference>
        </references>
      </pivotArea>
    </chartFormat>
    <chartFormat chart="7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9CD22-3F1E-4293-87A0-C7B27202554F}" name="Pivot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47:F69"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41" format="8" series="1">
      <pivotArea type="data" outline="0" fieldPosition="0">
        <references count="2">
          <reference field="4294967294" count="1" selected="0">
            <x v="0"/>
          </reference>
          <reference field="14" count="1" selected="0">
            <x v="0"/>
          </reference>
        </references>
      </pivotArea>
    </chartFormat>
    <chartFormat chart="41" format="9" series="1">
      <pivotArea type="data" outline="0" fieldPosition="0">
        <references count="2">
          <reference field="4294967294" count="1" selected="0">
            <x v="0"/>
          </reference>
          <reference field="14" count="1" selected="0">
            <x v="1"/>
          </reference>
        </references>
      </pivotArea>
    </chartFormat>
    <chartFormat chart="41" format="10" series="1">
      <pivotArea type="data" outline="0" fieldPosition="0">
        <references count="2">
          <reference field="4294967294" count="1" selected="0">
            <x v="0"/>
          </reference>
          <reference field="14" count="1" selected="0">
            <x v="2"/>
          </reference>
        </references>
      </pivotArea>
    </chartFormat>
    <chartFormat chart="4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79AF9A-F1D8-4316-AFD5-F73B33854552}" name="Pivotmap"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6">
  <location ref="A75:D13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11 to 87"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293B9B-47E2-44B9-A8C4-34CB5EA3B37C}" name="Pivotap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0"/>
        <item x="3"/>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ACE25DC-9749-4A91-A683-D896238EEBD9}" sourceName="Order Mode">
  <pivotTables>
    <pivotTable tabId="6" name="Pivotrating"/>
    <pivotTable tabId="6" name="Pivot TRend"/>
    <pivotTable tabId="6" name="Pivotdaytodeliver"/>
    <pivotTable tabId="6" name="PivotKpi"/>
    <pivotTable tabId="6" name="Pivotmap"/>
    <pivotTable tabId="6" name="PivotProduct"/>
    <pivotTable tabId="6" name="PivotQuantity"/>
    <pivotTable tabId="6" name="PivotTable7"/>
  </pivotTables>
  <data>
    <tabular pivotCacheId="32064012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8B42528-3DB1-464F-BE42-B8E0CAB94289}" sourceName="Gender Value">
  <pivotTables>
    <pivotTable tabId="6" name="Pivotrating"/>
    <pivotTable tabId="6" name="Pivotdaytodeliver"/>
    <pivotTable tabId="6" name="PivotKpi"/>
    <pivotTable tabId="6" name="PivotQuantity"/>
    <pivotTable tabId="6" name="Pivotmap"/>
    <pivotTable tabId="6" name="Pivot TRend"/>
  </pivotTables>
  <data>
    <tabular pivotCacheId="32064012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5A4E449-7B13-410C-9F68-722BBB78E3B8}" cache="Slicer_Order_Mode" caption="Order Mode" rowHeight="247650"/>
  <slicer name="Gender Value" xr10:uid="{1F78C228-1250-479D-8AF2-B3CB0FCCEC8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_xlfn.IFS(orders[[#This Row],[Customer Gender]]="M", "Male",orders[[#This Row],[Customer Gender]]="F","Female",orders[[#This Row],[Customer Gender]]="o","Others",TRUE,"Unknown")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72B0-933E-4427-9629-460E63BF2570}">
  <dimension ref="A1:M164"/>
  <sheetViews>
    <sheetView topLeftCell="A82" zoomScale="91" workbookViewId="0">
      <selection activeCell="P99" sqref="P99"/>
    </sheetView>
  </sheetViews>
  <sheetFormatPr defaultRowHeight="14.4" x14ac:dyDescent="0.3"/>
  <cols>
    <col min="1" max="1" width="13.44140625" bestFit="1" customWidth="1"/>
    <col min="2" max="2" width="13.21875" bestFit="1" customWidth="1"/>
    <col min="3" max="3" width="5.44140625" bestFit="1" customWidth="1"/>
    <col min="4" max="4" width="7" bestFit="1" customWidth="1"/>
    <col min="5" max="5" width="9.21875" bestFit="1" customWidth="1"/>
    <col min="6" max="7" width="11" bestFit="1" customWidth="1"/>
    <col min="8" max="8" width="9.5546875" bestFit="1" customWidth="1"/>
    <col min="9" max="9" width="13.44140625" bestFit="1" customWidth="1"/>
    <col min="10" max="10" width="14.77734375" bestFit="1" customWidth="1"/>
    <col min="11" max="32" width="9.5546875" bestFit="1" customWidth="1"/>
    <col min="33" max="89" width="9.88671875" bestFit="1" customWidth="1"/>
    <col min="90" max="90" width="11" bestFit="1" customWidth="1"/>
    <col min="91" max="2401" width="9.77734375" bestFit="1" customWidth="1"/>
    <col min="2402" max="2402" width="11" bestFit="1" customWidth="1"/>
  </cols>
  <sheetData>
    <row r="1" spans="1:12" x14ac:dyDescent="0.3">
      <c r="A1" t="s">
        <v>2537</v>
      </c>
    </row>
    <row r="2" spans="1:12" x14ac:dyDescent="0.3">
      <c r="H2" t="s">
        <v>2524</v>
      </c>
    </row>
    <row r="3" spans="1:12" x14ac:dyDescent="0.3">
      <c r="A3" t="s">
        <v>2521</v>
      </c>
      <c r="B3" t="s">
        <v>2519</v>
      </c>
      <c r="C3" t="s">
        <v>2520</v>
      </c>
      <c r="D3" t="s">
        <v>2522</v>
      </c>
      <c r="E3" t="s">
        <v>2523</v>
      </c>
      <c r="H3" t="s">
        <v>2518</v>
      </c>
      <c r="I3" t="s">
        <v>2525</v>
      </c>
      <c r="J3" t="s">
        <v>4</v>
      </c>
      <c r="K3" t="s">
        <v>2526</v>
      </c>
      <c r="L3" t="s">
        <v>2527</v>
      </c>
    </row>
    <row r="4" spans="1:12" x14ac:dyDescent="0.3">
      <c r="A4" s="12">
        <v>2400</v>
      </c>
      <c r="B4" s="12">
        <v>11997</v>
      </c>
      <c r="C4" s="12">
        <v>649019.80000000144</v>
      </c>
      <c r="D4" s="12">
        <v>3.9620833333333332</v>
      </c>
      <c r="E4" s="12">
        <v>2.3424999999999998</v>
      </c>
      <c r="H4" t="str">
        <f>TEXT(A4,"#,###")</f>
        <v>2,400</v>
      </c>
      <c r="I4" t="str">
        <f>TEXT(B4,"#,###")</f>
        <v>11,997</v>
      </c>
      <c r="J4" t="str">
        <f>TEXT(C4,"$#,##,.0k")</f>
        <v>$649.0k</v>
      </c>
      <c r="K4" t="str">
        <f>TEXT(D4,"0.0")</f>
        <v>4.0</v>
      </c>
      <c r="L4" t="str">
        <f>TEXT(E4,"0.0")</f>
        <v>2.3</v>
      </c>
    </row>
    <row r="10" spans="1:12" x14ac:dyDescent="0.3">
      <c r="A10" t="s">
        <v>2538</v>
      </c>
    </row>
    <row r="12" spans="1:12" x14ac:dyDescent="0.3">
      <c r="A12" s="6" t="s">
        <v>2528</v>
      </c>
      <c r="B12" t="s">
        <v>2519</v>
      </c>
      <c r="C12" t="s">
        <v>2520</v>
      </c>
    </row>
    <row r="13" spans="1:12" x14ac:dyDescent="0.3">
      <c r="A13" s="7">
        <v>1</v>
      </c>
      <c r="B13" s="12">
        <v>546</v>
      </c>
      <c r="C13" s="8">
        <v>32413.300000000003</v>
      </c>
    </row>
    <row r="14" spans="1:12" x14ac:dyDescent="0.3">
      <c r="A14" s="7">
        <v>2</v>
      </c>
      <c r="B14" s="12">
        <v>905</v>
      </c>
      <c r="C14" s="8">
        <v>49562.999999999993</v>
      </c>
    </row>
    <row r="15" spans="1:12" x14ac:dyDescent="0.3">
      <c r="A15" s="7">
        <v>3</v>
      </c>
      <c r="B15" s="12">
        <v>796</v>
      </c>
      <c r="C15" s="8">
        <v>41700.400000000016</v>
      </c>
    </row>
    <row r="16" spans="1:12" x14ac:dyDescent="0.3">
      <c r="A16" s="7">
        <v>4</v>
      </c>
      <c r="B16" s="12">
        <v>913</v>
      </c>
      <c r="C16" s="8">
        <v>46782.599999999984</v>
      </c>
    </row>
    <row r="17" spans="1:3" x14ac:dyDescent="0.3">
      <c r="A17" s="7">
        <v>5</v>
      </c>
      <c r="B17" s="12">
        <v>844</v>
      </c>
      <c r="C17" s="8">
        <v>42676.100000000006</v>
      </c>
    </row>
    <row r="18" spans="1:3" x14ac:dyDescent="0.3">
      <c r="A18" s="7">
        <v>6</v>
      </c>
      <c r="B18" s="12">
        <v>1202</v>
      </c>
      <c r="C18" s="8">
        <v>62910.7</v>
      </c>
    </row>
    <row r="19" spans="1:3" x14ac:dyDescent="0.3">
      <c r="A19" s="7">
        <v>7</v>
      </c>
      <c r="B19" s="12">
        <v>935</v>
      </c>
      <c r="C19" s="8">
        <v>50332.200000000004</v>
      </c>
    </row>
    <row r="20" spans="1:3" x14ac:dyDescent="0.3">
      <c r="A20" s="7">
        <v>8</v>
      </c>
      <c r="B20" s="12">
        <v>1128</v>
      </c>
      <c r="C20" s="8">
        <v>58760.599999999977</v>
      </c>
    </row>
    <row r="21" spans="1:3" x14ac:dyDescent="0.3">
      <c r="A21" s="7">
        <v>9</v>
      </c>
      <c r="B21" s="12">
        <v>1007</v>
      </c>
      <c r="C21" s="8">
        <v>52017.299999999996</v>
      </c>
    </row>
    <row r="22" spans="1:3" x14ac:dyDescent="0.3">
      <c r="A22" s="7">
        <v>10</v>
      </c>
      <c r="B22" s="12">
        <v>1128</v>
      </c>
      <c r="C22" s="8">
        <v>64915.700000000033</v>
      </c>
    </row>
    <row r="23" spans="1:3" x14ac:dyDescent="0.3">
      <c r="A23" s="7">
        <v>11</v>
      </c>
      <c r="B23" s="12">
        <v>861</v>
      </c>
      <c r="C23" s="8">
        <v>45943.80000000001</v>
      </c>
    </row>
    <row r="24" spans="1:3" x14ac:dyDescent="0.3">
      <c r="A24" s="7">
        <v>12</v>
      </c>
      <c r="B24" s="12">
        <v>944</v>
      </c>
      <c r="C24" s="8">
        <v>55077.900000000031</v>
      </c>
    </row>
    <row r="25" spans="1:3" x14ac:dyDescent="0.3">
      <c r="A25" s="7">
        <v>13</v>
      </c>
      <c r="B25" s="12">
        <v>788</v>
      </c>
      <c r="C25" s="8">
        <v>45926.19999999999</v>
      </c>
    </row>
    <row r="26" spans="1:3" x14ac:dyDescent="0.3">
      <c r="A26" s="7" t="s">
        <v>2529</v>
      </c>
      <c r="B26" s="12">
        <v>11997</v>
      </c>
      <c r="C26" s="8">
        <v>649019.79999999993</v>
      </c>
    </row>
    <row r="31" spans="1:3" x14ac:dyDescent="0.3">
      <c r="A31" t="s">
        <v>2539</v>
      </c>
    </row>
    <row r="33" spans="1:10" x14ac:dyDescent="0.3">
      <c r="A33" s="6" t="s">
        <v>2528</v>
      </c>
      <c r="B33" t="s">
        <v>2521</v>
      </c>
    </row>
    <row r="34" spans="1:10" x14ac:dyDescent="0.3">
      <c r="A34" s="7">
        <v>1</v>
      </c>
      <c r="B34" s="12">
        <v>397</v>
      </c>
    </row>
    <row r="35" spans="1:10" x14ac:dyDescent="0.3">
      <c r="A35" s="7">
        <v>2</v>
      </c>
      <c r="B35" s="12">
        <v>540</v>
      </c>
    </row>
    <row r="36" spans="1:10" x14ac:dyDescent="0.3">
      <c r="A36" s="7">
        <v>3</v>
      </c>
      <c r="B36" s="12">
        <v>375</v>
      </c>
    </row>
    <row r="37" spans="1:10" x14ac:dyDescent="0.3">
      <c r="A37" s="7">
        <v>4</v>
      </c>
      <c r="B37" s="12">
        <v>246</v>
      </c>
    </row>
    <row r="38" spans="1:10" x14ac:dyDescent="0.3">
      <c r="A38" s="7">
        <v>5</v>
      </c>
      <c r="B38" s="12">
        <v>195</v>
      </c>
    </row>
    <row r="39" spans="1:10" x14ac:dyDescent="0.3">
      <c r="A39" s="7" t="s">
        <v>2535</v>
      </c>
      <c r="B39" s="12">
        <v>414</v>
      </c>
    </row>
    <row r="40" spans="1:10" x14ac:dyDescent="0.3">
      <c r="A40" s="7" t="s">
        <v>2536</v>
      </c>
      <c r="B40" s="12">
        <v>233</v>
      </c>
    </row>
    <row r="41" spans="1:10" x14ac:dyDescent="0.3">
      <c r="A41" s="7" t="s">
        <v>2529</v>
      </c>
      <c r="B41" s="12">
        <v>2400</v>
      </c>
    </row>
    <row r="45" spans="1:10" x14ac:dyDescent="0.3">
      <c r="A45" t="s">
        <v>2540</v>
      </c>
      <c r="I45" t="s">
        <v>2541</v>
      </c>
    </row>
    <row r="47" spans="1:10" x14ac:dyDescent="0.3">
      <c r="A47" s="6" t="s">
        <v>2519</v>
      </c>
      <c r="B47" s="6" t="s">
        <v>2530</v>
      </c>
      <c r="I47" s="6" t="s">
        <v>2528</v>
      </c>
      <c r="J47" t="s">
        <v>2519</v>
      </c>
    </row>
    <row r="48" spans="1:10" x14ac:dyDescent="0.3">
      <c r="A48" s="6" t="s">
        <v>2528</v>
      </c>
      <c r="B48" t="s">
        <v>2531</v>
      </c>
      <c r="C48" t="s">
        <v>2532</v>
      </c>
      <c r="D48" t="s">
        <v>2534</v>
      </c>
      <c r="E48" t="s">
        <v>2533</v>
      </c>
      <c r="F48" t="s">
        <v>2529</v>
      </c>
      <c r="I48" s="7" t="s">
        <v>2531</v>
      </c>
      <c r="J48" s="12">
        <v>6272</v>
      </c>
    </row>
    <row r="49" spans="1:10" x14ac:dyDescent="0.3">
      <c r="A49" s="7" t="s">
        <v>44</v>
      </c>
      <c r="B49" s="12">
        <v>744</v>
      </c>
      <c r="C49" s="12">
        <v>713</v>
      </c>
      <c r="D49" s="12">
        <v>90</v>
      </c>
      <c r="E49" s="12">
        <v>98</v>
      </c>
      <c r="F49" s="12">
        <v>1645</v>
      </c>
      <c r="I49" s="7" t="s">
        <v>2532</v>
      </c>
      <c r="J49" s="12">
        <v>4672</v>
      </c>
    </row>
    <row r="50" spans="1:10" x14ac:dyDescent="0.3">
      <c r="A50" s="7" t="s">
        <v>39</v>
      </c>
      <c r="B50" s="12">
        <v>716</v>
      </c>
      <c r="C50" s="12">
        <v>598</v>
      </c>
      <c r="D50" s="12">
        <v>18</v>
      </c>
      <c r="E50" s="12">
        <v>214</v>
      </c>
      <c r="F50" s="12">
        <v>1546</v>
      </c>
      <c r="I50" s="7" t="s">
        <v>2534</v>
      </c>
      <c r="J50" s="12">
        <v>317</v>
      </c>
    </row>
    <row r="51" spans="1:10" x14ac:dyDescent="0.3">
      <c r="A51" s="7" t="s">
        <v>26</v>
      </c>
      <c r="B51" s="12">
        <v>627</v>
      </c>
      <c r="C51" s="12">
        <v>393</v>
      </c>
      <c r="D51" s="12">
        <v>29</v>
      </c>
      <c r="E51" s="12">
        <v>137</v>
      </c>
      <c r="F51" s="12">
        <v>1186</v>
      </c>
      <c r="I51" s="7" t="s">
        <v>2533</v>
      </c>
      <c r="J51" s="12">
        <v>736</v>
      </c>
    </row>
    <row r="52" spans="1:10" x14ac:dyDescent="0.3">
      <c r="A52" s="7" t="s">
        <v>22</v>
      </c>
      <c r="B52" s="12">
        <v>568</v>
      </c>
      <c r="C52" s="12">
        <v>306</v>
      </c>
      <c r="D52" s="12">
        <v>22</v>
      </c>
      <c r="E52" s="12">
        <v>16</v>
      </c>
      <c r="F52" s="12">
        <v>912</v>
      </c>
      <c r="I52" s="7" t="s">
        <v>2529</v>
      </c>
      <c r="J52" s="12">
        <v>11997</v>
      </c>
    </row>
    <row r="53" spans="1:10" x14ac:dyDescent="0.3">
      <c r="A53" s="7" t="s">
        <v>54</v>
      </c>
      <c r="B53" s="12">
        <v>482</v>
      </c>
      <c r="C53" s="12">
        <v>295</v>
      </c>
      <c r="D53" s="12">
        <v>8</v>
      </c>
      <c r="E53" s="12">
        <v>22</v>
      </c>
      <c r="F53" s="12">
        <v>807</v>
      </c>
    </row>
    <row r="54" spans="1:10" x14ac:dyDescent="0.3">
      <c r="A54" s="7" t="s">
        <v>16</v>
      </c>
      <c r="B54" s="12">
        <v>428</v>
      </c>
      <c r="C54" s="12">
        <v>293</v>
      </c>
      <c r="D54" s="12"/>
      <c r="E54" s="12">
        <v>24</v>
      </c>
      <c r="F54" s="12">
        <v>745</v>
      </c>
    </row>
    <row r="55" spans="1:10" x14ac:dyDescent="0.3">
      <c r="A55" s="7" t="s">
        <v>46</v>
      </c>
      <c r="B55" s="12">
        <v>445</v>
      </c>
      <c r="C55" s="12">
        <v>202</v>
      </c>
      <c r="D55" s="12">
        <v>14</v>
      </c>
      <c r="E55" s="12">
        <v>39</v>
      </c>
      <c r="F55" s="12">
        <v>700</v>
      </c>
    </row>
    <row r="56" spans="1:10" x14ac:dyDescent="0.3">
      <c r="A56" s="7" t="s">
        <v>32</v>
      </c>
      <c r="B56" s="12">
        <v>431</v>
      </c>
      <c r="C56" s="12">
        <v>187</v>
      </c>
      <c r="D56" s="12">
        <v>14</v>
      </c>
      <c r="E56" s="12">
        <v>15</v>
      </c>
      <c r="F56" s="12">
        <v>647</v>
      </c>
    </row>
    <row r="57" spans="1:10" x14ac:dyDescent="0.3">
      <c r="A57" s="7" t="s">
        <v>42</v>
      </c>
      <c r="B57" s="12">
        <v>264</v>
      </c>
      <c r="C57" s="12">
        <v>318</v>
      </c>
      <c r="D57" s="12">
        <v>15</v>
      </c>
      <c r="E57" s="12">
        <v>9</v>
      </c>
      <c r="F57" s="12">
        <v>606</v>
      </c>
    </row>
    <row r="58" spans="1:10" x14ac:dyDescent="0.3">
      <c r="A58" s="7" t="s">
        <v>37</v>
      </c>
      <c r="B58" s="12">
        <v>296</v>
      </c>
      <c r="C58" s="12">
        <v>275</v>
      </c>
      <c r="D58" s="12">
        <v>9</v>
      </c>
      <c r="E58" s="12">
        <v>23</v>
      </c>
      <c r="F58" s="12">
        <v>603</v>
      </c>
    </row>
    <row r="59" spans="1:10" x14ac:dyDescent="0.3">
      <c r="A59" s="7" t="s">
        <v>123</v>
      </c>
      <c r="B59" s="12">
        <v>153</v>
      </c>
      <c r="C59" s="12">
        <v>246</v>
      </c>
      <c r="D59" s="12">
        <v>30</v>
      </c>
      <c r="E59" s="12">
        <v>8</v>
      </c>
      <c r="F59" s="12">
        <v>437</v>
      </c>
    </row>
    <row r="60" spans="1:10" x14ac:dyDescent="0.3">
      <c r="A60" s="7" t="s">
        <v>146</v>
      </c>
      <c r="B60" s="12">
        <v>189</v>
      </c>
      <c r="C60" s="12">
        <v>168</v>
      </c>
      <c r="D60" s="12">
        <v>10</v>
      </c>
      <c r="E60" s="12">
        <v>31</v>
      </c>
      <c r="F60" s="12">
        <v>398</v>
      </c>
    </row>
    <row r="61" spans="1:10" x14ac:dyDescent="0.3">
      <c r="A61" s="7" t="s">
        <v>69</v>
      </c>
      <c r="B61" s="12">
        <v>234</v>
      </c>
      <c r="C61" s="12">
        <v>93</v>
      </c>
      <c r="D61" s="12">
        <v>19</v>
      </c>
      <c r="E61" s="12">
        <v>24</v>
      </c>
      <c r="F61" s="12">
        <v>370</v>
      </c>
    </row>
    <row r="62" spans="1:10" x14ac:dyDescent="0.3">
      <c r="A62" s="7" t="s">
        <v>30</v>
      </c>
      <c r="B62" s="12">
        <v>146</v>
      </c>
      <c r="C62" s="12">
        <v>94</v>
      </c>
      <c r="D62" s="12">
        <v>4</v>
      </c>
      <c r="E62" s="12">
        <v>28</v>
      </c>
      <c r="F62" s="12">
        <v>272</v>
      </c>
    </row>
    <row r="63" spans="1:10" x14ac:dyDescent="0.3">
      <c r="A63" s="7" t="s">
        <v>135</v>
      </c>
      <c r="B63" s="12">
        <v>127</v>
      </c>
      <c r="C63" s="12">
        <v>118</v>
      </c>
      <c r="D63" s="12">
        <v>13</v>
      </c>
      <c r="E63" s="12">
        <v>12</v>
      </c>
      <c r="F63" s="12">
        <v>270</v>
      </c>
    </row>
    <row r="64" spans="1:10" x14ac:dyDescent="0.3">
      <c r="A64" s="7" t="s">
        <v>67</v>
      </c>
      <c r="B64" s="12">
        <v>179</v>
      </c>
      <c r="C64" s="12">
        <v>76</v>
      </c>
      <c r="D64" s="12">
        <v>3</v>
      </c>
      <c r="E64" s="12"/>
      <c r="F64" s="12">
        <v>258</v>
      </c>
    </row>
    <row r="65" spans="1:13" x14ac:dyDescent="0.3">
      <c r="A65" s="7" t="s">
        <v>128</v>
      </c>
      <c r="B65" s="12">
        <v>99</v>
      </c>
      <c r="C65" s="12">
        <v>69</v>
      </c>
      <c r="D65" s="12">
        <v>3</v>
      </c>
      <c r="E65" s="12">
        <v>24</v>
      </c>
      <c r="F65" s="12">
        <v>195</v>
      </c>
    </row>
    <row r="66" spans="1:13" x14ac:dyDescent="0.3">
      <c r="A66" s="7" t="s">
        <v>76</v>
      </c>
      <c r="B66" s="12">
        <v>75</v>
      </c>
      <c r="C66" s="12">
        <v>103</v>
      </c>
      <c r="D66" s="12">
        <v>4</v>
      </c>
      <c r="E66" s="12">
        <v>6</v>
      </c>
      <c r="F66" s="12">
        <v>188</v>
      </c>
    </row>
    <row r="67" spans="1:13" x14ac:dyDescent="0.3">
      <c r="A67" s="7" t="s">
        <v>81</v>
      </c>
      <c r="B67" s="12">
        <v>43</v>
      </c>
      <c r="C67" s="12">
        <v>90</v>
      </c>
      <c r="D67" s="12">
        <v>8</v>
      </c>
      <c r="E67" s="12">
        <v>6</v>
      </c>
      <c r="F67" s="12">
        <v>147</v>
      </c>
    </row>
    <row r="68" spans="1:13" x14ac:dyDescent="0.3">
      <c r="A68" s="7" t="s">
        <v>171</v>
      </c>
      <c r="B68" s="12">
        <v>26</v>
      </c>
      <c r="C68" s="12">
        <v>35</v>
      </c>
      <c r="D68" s="12">
        <v>4</v>
      </c>
      <c r="E68" s="12"/>
      <c r="F68" s="12">
        <v>65</v>
      </c>
    </row>
    <row r="69" spans="1:13" x14ac:dyDescent="0.3">
      <c r="A69" s="7" t="s">
        <v>2529</v>
      </c>
      <c r="B69" s="12">
        <v>6272</v>
      </c>
      <c r="C69" s="12">
        <v>4672</v>
      </c>
      <c r="D69" s="12">
        <v>317</v>
      </c>
      <c r="E69" s="12">
        <v>736</v>
      </c>
      <c r="F69" s="12">
        <v>11997</v>
      </c>
    </row>
    <row r="73" spans="1:13" x14ac:dyDescent="0.3">
      <c r="A73" t="s">
        <v>2542</v>
      </c>
    </row>
    <row r="75" spans="1:13" x14ac:dyDescent="0.3">
      <c r="A75" s="6" t="s">
        <v>10</v>
      </c>
      <c r="B75" s="6" t="s">
        <v>11</v>
      </c>
      <c r="C75" t="s">
        <v>2519</v>
      </c>
      <c r="D75" t="s">
        <v>2520</v>
      </c>
      <c r="F75" t="str">
        <f>A75</f>
        <v>State</v>
      </c>
      <c r="G75" t="str">
        <f>B75</f>
        <v>County</v>
      </c>
      <c r="H75" t="s">
        <v>2543</v>
      </c>
      <c r="K75" t="str">
        <f t="shared" ref="K75:M76" si="0">F75</f>
        <v>State</v>
      </c>
      <c r="L75" t="str">
        <f t="shared" si="0"/>
        <v>County</v>
      </c>
      <c r="M75" t="str">
        <f t="shared" si="0"/>
        <v>qty</v>
      </c>
    </row>
    <row r="76" spans="1:13" x14ac:dyDescent="0.3">
      <c r="A76" t="s">
        <v>19</v>
      </c>
      <c r="B76" t="s">
        <v>115</v>
      </c>
      <c r="C76" s="12">
        <v>579</v>
      </c>
      <c r="D76" s="12">
        <v>31884.999999999996</v>
      </c>
      <c r="F76" t="str">
        <f>IF(A76="","",A76)</f>
        <v>California</v>
      </c>
      <c r="G76" t="str">
        <f>IF(B76="","",B76)</f>
        <v>Alameda County</v>
      </c>
      <c r="H76">
        <f>IF(C76="","",C76)</f>
        <v>579</v>
      </c>
      <c r="K76" t="str">
        <f t="shared" si="0"/>
        <v>California</v>
      </c>
      <c r="L76" t="str">
        <f t="shared" si="0"/>
        <v>Alameda County</v>
      </c>
      <c r="M76">
        <f t="shared" si="0"/>
        <v>579</v>
      </c>
    </row>
    <row r="77" spans="1:13" x14ac:dyDescent="0.3">
      <c r="A77" t="s">
        <v>19</v>
      </c>
      <c r="B77" t="s">
        <v>20</v>
      </c>
      <c r="C77" s="12">
        <v>1</v>
      </c>
      <c r="D77" s="12">
        <v>10.9</v>
      </c>
      <c r="F77" t="str">
        <f t="shared" ref="F77:F133" si="1">IF(A77="","",A77)</f>
        <v>California</v>
      </c>
      <c r="G77" t="str">
        <f t="shared" ref="G77:G133" si="2">IF(B77="","",B77)</f>
        <v>Alpine County</v>
      </c>
      <c r="H77">
        <f t="shared" ref="H77:H133" si="3">IF(C77="","",C77)</f>
        <v>1</v>
      </c>
      <c r="K77" t="str">
        <f t="shared" ref="K77:K133" si="4">F77</f>
        <v>California</v>
      </c>
      <c r="L77" t="str">
        <f t="shared" ref="L77:L133" si="5">G77</f>
        <v>Alpine County</v>
      </c>
      <c r="M77">
        <f t="shared" ref="M77:M133" si="6">H77</f>
        <v>1</v>
      </c>
    </row>
    <row r="78" spans="1:13" x14ac:dyDescent="0.3">
      <c r="A78" t="s">
        <v>19</v>
      </c>
      <c r="B78" t="s">
        <v>641</v>
      </c>
      <c r="C78" s="12">
        <v>9</v>
      </c>
      <c r="D78" s="12">
        <v>800.3</v>
      </c>
      <c r="F78" t="str">
        <f t="shared" si="1"/>
        <v>California</v>
      </c>
      <c r="G78" t="str">
        <f t="shared" si="2"/>
        <v>Amador County</v>
      </c>
      <c r="H78">
        <f t="shared" si="3"/>
        <v>9</v>
      </c>
      <c r="K78" t="str">
        <f t="shared" si="4"/>
        <v>California</v>
      </c>
      <c r="L78" t="str">
        <f t="shared" si="5"/>
        <v>Amador County</v>
      </c>
      <c r="M78">
        <f t="shared" si="6"/>
        <v>9</v>
      </c>
    </row>
    <row r="79" spans="1:13" x14ac:dyDescent="0.3">
      <c r="A79" t="s">
        <v>19</v>
      </c>
      <c r="B79" t="s">
        <v>967</v>
      </c>
      <c r="C79" s="12">
        <v>35</v>
      </c>
      <c r="D79" s="12">
        <v>1062.5999999999999</v>
      </c>
      <c r="F79" t="str">
        <f t="shared" si="1"/>
        <v>California</v>
      </c>
      <c r="G79" t="str">
        <f t="shared" si="2"/>
        <v>Butte County</v>
      </c>
      <c r="H79">
        <f t="shared" si="3"/>
        <v>35</v>
      </c>
      <c r="K79" t="str">
        <f t="shared" si="4"/>
        <v>California</v>
      </c>
      <c r="L79" t="str">
        <f t="shared" si="5"/>
        <v>Butte County</v>
      </c>
      <c r="M79">
        <f t="shared" si="6"/>
        <v>35</v>
      </c>
    </row>
    <row r="80" spans="1:13" x14ac:dyDescent="0.3">
      <c r="A80" t="s">
        <v>19</v>
      </c>
      <c r="B80" t="s">
        <v>84</v>
      </c>
      <c r="C80" s="12">
        <v>12</v>
      </c>
      <c r="D80" s="12">
        <v>326.20000000000005</v>
      </c>
      <c r="F80" t="str">
        <f t="shared" si="1"/>
        <v>California</v>
      </c>
      <c r="G80" t="str">
        <f t="shared" si="2"/>
        <v>Calaveras County</v>
      </c>
      <c r="H80">
        <f t="shared" si="3"/>
        <v>12</v>
      </c>
      <c r="K80" t="str">
        <f t="shared" si="4"/>
        <v>California</v>
      </c>
      <c r="L80" t="str">
        <f t="shared" si="5"/>
        <v>Calaveras County</v>
      </c>
      <c r="M80">
        <f t="shared" si="6"/>
        <v>12</v>
      </c>
    </row>
    <row r="81" spans="1:13" x14ac:dyDescent="0.3">
      <c r="A81" t="s">
        <v>19</v>
      </c>
      <c r="B81" t="s">
        <v>1383</v>
      </c>
      <c r="C81" s="12">
        <v>4</v>
      </c>
      <c r="D81" s="12">
        <v>167.5</v>
      </c>
      <c r="F81" t="str">
        <f t="shared" si="1"/>
        <v>California</v>
      </c>
      <c r="G81" t="str">
        <f t="shared" si="2"/>
        <v>Colusa County</v>
      </c>
      <c r="H81">
        <f t="shared" si="3"/>
        <v>4</v>
      </c>
      <c r="K81" t="str">
        <f t="shared" si="4"/>
        <v>California</v>
      </c>
      <c r="L81" t="str">
        <f t="shared" si="5"/>
        <v>Colusa County</v>
      </c>
      <c r="M81">
        <f t="shared" si="6"/>
        <v>4</v>
      </c>
    </row>
    <row r="82" spans="1:13" x14ac:dyDescent="0.3">
      <c r="A82" t="s">
        <v>19</v>
      </c>
      <c r="B82" t="s">
        <v>24</v>
      </c>
      <c r="C82" s="12">
        <v>341</v>
      </c>
      <c r="D82" s="12">
        <v>16168.7</v>
      </c>
      <c r="F82" t="str">
        <f t="shared" si="1"/>
        <v>California</v>
      </c>
      <c r="G82" t="str">
        <f t="shared" si="2"/>
        <v>Contra Costa County</v>
      </c>
      <c r="H82">
        <f t="shared" si="3"/>
        <v>341</v>
      </c>
      <c r="K82" t="str">
        <f t="shared" si="4"/>
        <v>California</v>
      </c>
      <c r="L82" t="str">
        <f t="shared" si="5"/>
        <v>Contra Costa County</v>
      </c>
      <c r="M82">
        <f t="shared" si="6"/>
        <v>341</v>
      </c>
    </row>
    <row r="83" spans="1:13" x14ac:dyDescent="0.3">
      <c r="A83" t="s">
        <v>19</v>
      </c>
      <c r="B83" t="s">
        <v>2204</v>
      </c>
      <c r="C83" s="12">
        <v>13</v>
      </c>
      <c r="D83" s="12">
        <v>322.40000000000003</v>
      </c>
      <c r="F83" t="str">
        <f t="shared" si="1"/>
        <v>California</v>
      </c>
      <c r="G83" t="str">
        <f t="shared" si="2"/>
        <v>Del Norte County</v>
      </c>
      <c r="H83">
        <f t="shared" si="3"/>
        <v>13</v>
      </c>
      <c r="K83" t="str">
        <f t="shared" si="4"/>
        <v>California</v>
      </c>
      <c r="L83" t="str">
        <f t="shared" si="5"/>
        <v>Del Norte County</v>
      </c>
      <c r="M83">
        <f t="shared" si="6"/>
        <v>13</v>
      </c>
    </row>
    <row r="84" spans="1:13" x14ac:dyDescent="0.3">
      <c r="A84" t="s">
        <v>19</v>
      </c>
      <c r="B84" t="s">
        <v>437</v>
      </c>
      <c r="C84" s="12">
        <v>31</v>
      </c>
      <c r="D84" s="12">
        <v>2092.8000000000002</v>
      </c>
      <c r="F84" t="str">
        <f t="shared" si="1"/>
        <v>California</v>
      </c>
      <c r="G84" t="str">
        <f t="shared" si="2"/>
        <v>El Dorado County</v>
      </c>
      <c r="H84">
        <f t="shared" si="3"/>
        <v>31</v>
      </c>
      <c r="K84" t="str">
        <f t="shared" si="4"/>
        <v>California</v>
      </c>
      <c r="L84" t="str">
        <f t="shared" si="5"/>
        <v>El Dorado County</v>
      </c>
      <c r="M84">
        <f t="shared" si="6"/>
        <v>31</v>
      </c>
    </row>
    <row r="85" spans="1:13" x14ac:dyDescent="0.3">
      <c r="A85" t="s">
        <v>19</v>
      </c>
      <c r="B85" t="s">
        <v>28</v>
      </c>
      <c r="C85" s="12">
        <v>279</v>
      </c>
      <c r="D85" s="12">
        <v>12662.500000000002</v>
      </c>
      <c r="F85" t="str">
        <f t="shared" si="1"/>
        <v>California</v>
      </c>
      <c r="G85" t="str">
        <f t="shared" si="2"/>
        <v>Fresno County</v>
      </c>
      <c r="H85">
        <f t="shared" si="3"/>
        <v>279</v>
      </c>
      <c r="K85" t="str">
        <f t="shared" si="4"/>
        <v>California</v>
      </c>
      <c r="L85" t="str">
        <f t="shared" si="5"/>
        <v>Fresno County</v>
      </c>
      <c r="M85">
        <f t="shared" si="6"/>
        <v>279</v>
      </c>
    </row>
    <row r="86" spans="1:13" x14ac:dyDescent="0.3">
      <c r="A86" t="s">
        <v>19</v>
      </c>
      <c r="B86" t="s">
        <v>208</v>
      </c>
      <c r="C86" s="12">
        <v>9</v>
      </c>
      <c r="D86" s="12">
        <v>343.2</v>
      </c>
      <c r="F86" t="str">
        <f t="shared" si="1"/>
        <v>California</v>
      </c>
      <c r="G86" t="str">
        <f t="shared" si="2"/>
        <v>Glenn County</v>
      </c>
      <c r="H86">
        <f t="shared" si="3"/>
        <v>9</v>
      </c>
      <c r="K86" t="str">
        <f t="shared" si="4"/>
        <v>California</v>
      </c>
      <c r="L86" t="str">
        <f t="shared" si="5"/>
        <v>Glenn County</v>
      </c>
      <c r="M86">
        <f t="shared" si="6"/>
        <v>9</v>
      </c>
    </row>
    <row r="87" spans="1:13" x14ac:dyDescent="0.3">
      <c r="A87" t="s">
        <v>19</v>
      </c>
      <c r="B87" t="s">
        <v>587</v>
      </c>
      <c r="C87" s="12">
        <v>49</v>
      </c>
      <c r="D87" s="12">
        <v>2188.2999999999997</v>
      </c>
      <c r="F87" t="str">
        <f t="shared" si="1"/>
        <v>California</v>
      </c>
      <c r="G87" t="str">
        <f t="shared" si="2"/>
        <v>Humboldt County</v>
      </c>
      <c r="H87">
        <f t="shared" si="3"/>
        <v>49</v>
      </c>
      <c r="K87" t="str">
        <f t="shared" si="4"/>
        <v>California</v>
      </c>
      <c r="L87" t="str">
        <f t="shared" si="5"/>
        <v>Humboldt County</v>
      </c>
      <c r="M87">
        <f t="shared" si="6"/>
        <v>49</v>
      </c>
    </row>
    <row r="88" spans="1:13" x14ac:dyDescent="0.3">
      <c r="A88" t="s">
        <v>19</v>
      </c>
      <c r="B88" t="s">
        <v>331</v>
      </c>
      <c r="C88" s="12">
        <v>59</v>
      </c>
      <c r="D88" s="12">
        <v>2661.5999999999995</v>
      </c>
      <c r="F88" t="str">
        <f t="shared" si="1"/>
        <v>California</v>
      </c>
      <c r="G88" t="str">
        <f t="shared" si="2"/>
        <v>Imperial County</v>
      </c>
      <c r="H88">
        <f t="shared" si="3"/>
        <v>59</v>
      </c>
      <c r="K88" t="str">
        <f t="shared" si="4"/>
        <v>California</v>
      </c>
      <c r="L88" t="str">
        <f t="shared" si="5"/>
        <v>Imperial County</v>
      </c>
      <c r="M88">
        <f t="shared" si="6"/>
        <v>59</v>
      </c>
    </row>
    <row r="89" spans="1:13" x14ac:dyDescent="0.3">
      <c r="A89" t="s">
        <v>19</v>
      </c>
      <c r="B89" t="s">
        <v>86</v>
      </c>
      <c r="C89" s="12">
        <v>8</v>
      </c>
      <c r="D89" s="12">
        <v>887.5</v>
      </c>
      <c r="F89" t="str">
        <f t="shared" si="1"/>
        <v>California</v>
      </c>
      <c r="G89" t="str">
        <f t="shared" si="2"/>
        <v>Inyo County</v>
      </c>
      <c r="H89">
        <f t="shared" si="3"/>
        <v>8</v>
      </c>
      <c r="K89" t="str">
        <f t="shared" si="4"/>
        <v>California</v>
      </c>
      <c r="L89" t="str">
        <f t="shared" si="5"/>
        <v>Inyo County</v>
      </c>
      <c r="M89">
        <f t="shared" si="6"/>
        <v>8</v>
      </c>
    </row>
    <row r="90" spans="1:13" x14ac:dyDescent="0.3">
      <c r="A90" t="s">
        <v>19</v>
      </c>
      <c r="B90" t="s">
        <v>147</v>
      </c>
      <c r="C90" s="12">
        <v>222</v>
      </c>
      <c r="D90" s="12">
        <v>11354.199999999993</v>
      </c>
      <c r="F90" t="str">
        <f t="shared" si="1"/>
        <v>California</v>
      </c>
      <c r="G90" t="str">
        <f t="shared" si="2"/>
        <v>Kern County</v>
      </c>
      <c r="H90">
        <f t="shared" si="3"/>
        <v>222</v>
      </c>
      <c r="K90" t="str">
        <f t="shared" si="4"/>
        <v>California</v>
      </c>
      <c r="L90" t="str">
        <f t="shared" si="5"/>
        <v>Kern County</v>
      </c>
      <c r="M90">
        <f t="shared" si="6"/>
        <v>222</v>
      </c>
    </row>
    <row r="91" spans="1:13" x14ac:dyDescent="0.3">
      <c r="A91" t="s">
        <v>19</v>
      </c>
      <c r="B91" t="s">
        <v>334</v>
      </c>
      <c r="C91" s="12">
        <v>36</v>
      </c>
      <c r="D91" s="12">
        <v>1558.4</v>
      </c>
      <c r="F91" t="str">
        <f t="shared" si="1"/>
        <v>California</v>
      </c>
      <c r="G91" t="str">
        <f t="shared" si="2"/>
        <v>Kings County</v>
      </c>
      <c r="H91">
        <f t="shared" si="3"/>
        <v>36</v>
      </c>
      <c r="K91" t="str">
        <f t="shared" si="4"/>
        <v>California</v>
      </c>
      <c r="L91" t="str">
        <f t="shared" si="5"/>
        <v>Kings County</v>
      </c>
      <c r="M91">
        <f t="shared" si="6"/>
        <v>36</v>
      </c>
    </row>
    <row r="92" spans="1:13" x14ac:dyDescent="0.3">
      <c r="A92" t="s">
        <v>19</v>
      </c>
      <c r="B92" t="s">
        <v>949</v>
      </c>
      <c r="C92" s="12">
        <v>30</v>
      </c>
      <c r="D92" s="12">
        <v>2223.9</v>
      </c>
      <c r="F92" t="str">
        <f t="shared" si="1"/>
        <v>California</v>
      </c>
      <c r="G92" t="str">
        <f t="shared" si="2"/>
        <v>Lake County</v>
      </c>
      <c r="H92">
        <f t="shared" si="3"/>
        <v>30</v>
      </c>
      <c r="K92" t="str">
        <f t="shared" si="4"/>
        <v>California</v>
      </c>
      <c r="L92" t="str">
        <f t="shared" si="5"/>
        <v>Lake County</v>
      </c>
      <c r="M92">
        <f t="shared" si="6"/>
        <v>30</v>
      </c>
    </row>
    <row r="93" spans="1:13" x14ac:dyDescent="0.3">
      <c r="A93" t="s">
        <v>19</v>
      </c>
      <c r="B93" t="s">
        <v>1426</v>
      </c>
      <c r="C93" s="12">
        <v>1</v>
      </c>
      <c r="D93" s="12">
        <v>26.2</v>
      </c>
      <c r="F93" t="str">
        <f t="shared" si="1"/>
        <v>California</v>
      </c>
      <c r="G93" t="str">
        <f t="shared" si="2"/>
        <v>Lassen County</v>
      </c>
      <c r="H93">
        <f t="shared" si="3"/>
        <v>1</v>
      </c>
      <c r="K93" t="str">
        <f t="shared" si="4"/>
        <v>California</v>
      </c>
      <c r="L93" t="str">
        <f t="shared" si="5"/>
        <v>Lassen County</v>
      </c>
      <c r="M93">
        <f t="shared" si="6"/>
        <v>1</v>
      </c>
    </row>
    <row r="94" spans="1:13" x14ac:dyDescent="0.3">
      <c r="A94" t="s">
        <v>19</v>
      </c>
      <c r="B94" t="s">
        <v>33</v>
      </c>
      <c r="C94" s="12">
        <v>3991</v>
      </c>
      <c r="D94" s="12">
        <v>215551.19999999981</v>
      </c>
      <c r="F94" t="str">
        <f t="shared" si="1"/>
        <v>California</v>
      </c>
      <c r="G94" t="str">
        <f t="shared" si="2"/>
        <v>Los Angeles County</v>
      </c>
      <c r="H94">
        <f t="shared" si="3"/>
        <v>3991</v>
      </c>
      <c r="K94" t="str">
        <f t="shared" si="4"/>
        <v>California</v>
      </c>
      <c r="L94" t="str">
        <f t="shared" si="5"/>
        <v>Los Angeles County</v>
      </c>
      <c r="M94">
        <f t="shared" si="6"/>
        <v>3991</v>
      </c>
    </row>
    <row r="95" spans="1:13" x14ac:dyDescent="0.3">
      <c r="A95" t="s">
        <v>19</v>
      </c>
      <c r="B95" t="s">
        <v>364</v>
      </c>
      <c r="C95" s="12">
        <v>45</v>
      </c>
      <c r="D95" s="12">
        <v>2687.3999999999996</v>
      </c>
      <c r="F95" t="str">
        <f t="shared" si="1"/>
        <v>California</v>
      </c>
      <c r="G95" t="str">
        <f t="shared" si="2"/>
        <v>Madera County</v>
      </c>
      <c r="H95">
        <f t="shared" si="3"/>
        <v>45</v>
      </c>
      <c r="K95" t="str">
        <f t="shared" si="4"/>
        <v>California</v>
      </c>
      <c r="L95" t="str">
        <f t="shared" si="5"/>
        <v>Madera County</v>
      </c>
      <c r="M95">
        <f t="shared" si="6"/>
        <v>45</v>
      </c>
    </row>
    <row r="96" spans="1:13" x14ac:dyDescent="0.3">
      <c r="A96" t="s">
        <v>19</v>
      </c>
      <c r="B96" t="s">
        <v>545</v>
      </c>
      <c r="C96" s="12">
        <v>39</v>
      </c>
      <c r="D96" s="12">
        <v>1463.3000000000002</v>
      </c>
      <c r="F96" t="str">
        <f t="shared" si="1"/>
        <v>California</v>
      </c>
      <c r="G96" t="str">
        <f t="shared" si="2"/>
        <v>Marin County</v>
      </c>
      <c r="H96">
        <f t="shared" si="3"/>
        <v>39</v>
      </c>
      <c r="K96" t="str">
        <f t="shared" si="4"/>
        <v>California</v>
      </c>
      <c r="L96" t="str">
        <f t="shared" si="5"/>
        <v>Marin County</v>
      </c>
      <c r="M96">
        <f t="shared" si="6"/>
        <v>39</v>
      </c>
    </row>
    <row r="97" spans="1:13" x14ac:dyDescent="0.3">
      <c r="A97" t="s">
        <v>19</v>
      </c>
      <c r="B97" t="s">
        <v>416</v>
      </c>
      <c r="C97" s="12">
        <v>6</v>
      </c>
      <c r="D97" s="12">
        <v>445.79999999999995</v>
      </c>
      <c r="F97" t="str">
        <f t="shared" si="1"/>
        <v>California</v>
      </c>
      <c r="G97" t="str">
        <f t="shared" si="2"/>
        <v>Mariposa County</v>
      </c>
      <c r="H97">
        <f t="shared" si="3"/>
        <v>6</v>
      </c>
      <c r="K97" t="str">
        <f t="shared" si="4"/>
        <v>California</v>
      </c>
      <c r="L97" t="str">
        <f t="shared" si="5"/>
        <v>Mariposa County</v>
      </c>
      <c r="M97">
        <f t="shared" si="6"/>
        <v>6</v>
      </c>
    </row>
    <row r="98" spans="1:13" x14ac:dyDescent="0.3">
      <c r="A98" t="s">
        <v>19</v>
      </c>
      <c r="B98" t="s">
        <v>258</v>
      </c>
      <c r="C98" s="12">
        <v>9</v>
      </c>
      <c r="D98" s="12">
        <v>273.59999999999997</v>
      </c>
      <c r="F98" t="str">
        <f t="shared" si="1"/>
        <v>California</v>
      </c>
      <c r="G98" t="str">
        <f t="shared" si="2"/>
        <v>Mendocino County</v>
      </c>
      <c r="H98">
        <f t="shared" si="3"/>
        <v>9</v>
      </c>
      <c r="K98" t="str">
        <f t="shared" si="4"/>
        <v>California</v>
      </c>
      <c r="L98" t="str">
        <f t="shared" si="5"/>
        <v>Mendocino County</v>
      </c>
      <c r="M98">
        <f t="shared" si="6"/>
        <v>9</v>
      </c>
    </row>
    <row r="99" spans="1:13" x14ac:dyDescent="0.3">
      <c r="A99" t="s">
        <v>19</v>
      </c>
      <c r="B99" t="s">
        <v>186</v>
      </c>
      <c r="C99" s="12">
        <v>60</v>
      </c>
      <c r="D99" s="12">
        <v>2690.4</v>
      </c>
      <c r="F99" t="str">
        <f t="shared" si="1"/>
        <v>California</v>
      </c>
      <c r="G99" t="str">
        <f t="shared" si="2"/>
        <v>Merced County</v>
      </c>
      <c r="H99">
        <f t="shared" si="3"/>
        <v>60</v>
      </c>
      <c r="K99" t="str">
        <f t="shared" si="4"/>
        <v>California</v>
      </c>
      <c r="L99" t="str">
        <f t="shared" si="5"/>
        <v>Merced County</v>
      </c>
      <c r="M99">
        <f t="shared" si="6"/>
        <v>60</v>
      </c>
    </row>
    <row r="100" spans="1:13" x14ac:dyDescent="0.3">
      <c r="A100" t="s">
        <v>19</v>
      </c>
      <c r="B100" t="s">
        <v>392</v>
      </c>
      <c r="C100" s="12">
        <v>2</v>
      </c>
      <c r="D100" s="12">
        <v>28.4</v>
      </c>
      <c r="F100" t="str">
        <f t="shared" si="1"/>
        <v>California</v>
      </c>
      <c r="G100" t="str">
        <f t="shared" si="2"/>
        <v>Modoc County</v>
      </c>
      <c r="H100">
        <f t="shared" si="3"/>
        <v>2</v>
      </c>
      <c r="K100" t="str">
        <f t="shared" si="4"/>
        <v>California</v>
      </c>
      <c r="L100" t="str">
        <f t="shared" si="5"/>
        <v>Modoc County</v>
      </c>
      <c r="M100">
        <f t="shared" si="6"/>
        <v>2</v>
      </c>
    </row>
    <row r="101" spans="1:13" x14ac:dyDescent="0.3">
      <c r="A101" t="s">
        <v>19</v>
      </c>
      <c r="B101" t="s">
        <v>670</v>
      </c>
      <c r="C101" s="12">
        <v>4</v>
      </c>
      <c r="D101" s="12">
        <v>204.8</v>
      </c>
      <c r="F101" t="str">
        <f t="shared" si="1"/>
        <v>California</v>
      </c>
      <c r="G101" t="str">
        <f t="shared" si="2"/>
        <v>Mono County</v>
      </c>
      <c r="H101">
        <f t="shared" si="3"/>
        <v>4</v>
      </c>
      <c r="K101" t="str">
        <f t="shared" si="4"/>
        <v>California</v>
      </c>
      <c r="L101" t="str">
        <f t="shared" si="5"/>
        <v>Mono County</v>
      </c>
      <c r="M101">
        <f t="shared" si="6"/>
        <v>4</v>
      </c>
    </row>
    <row r="102" spans="1:13" x14ac:dyDescent="0.3">
      <c r="A102" t="s">
        <v>19</v>
      </c>
      <c r="B102" t="s">
        <v>802</v>
      </c>
      <c r="C102" s="12">
        <v>31</v>
      </c>
      <c r="D102" s="12">
        <v>1607.8999999999999</v>
      </c>
      <c r="F102" t="str">
        <f t="shared" si="1"/>
        <v>California</v>
      </c>
      <c r="G102" t="str">
        <f t="shared" si="2"/>
        <v>Monterey County</v>
      </c>
      <c r="H102">
        <f t="shared" si="3"/>
        <v>31</v>
      </c>
      <c r="K102" t="str">
        <f t="shared" si="4"/>
        <v>California</v>
      </c>
      <c r="L102" t="str">
        <f t="shared" si="5"/>
        <v>Monterey County</v>
      </c>
      <c r="M102">
        <f t="shared" si="6"/>
        <v>31</v>
      </c>
    </row>
    <row r="103" spans="1:13" x14ac:dyDescent="0.3">
      <c r="A103" t="s">
        <v>19</v>
      </c>
      <c r="B103" t="s">
        <v>98</v>
      </c>
      <c r="C103" s="12">
        <v>88</v>
      </c>
      <c r="D103" s="12">
        <v>6444.9</v>
      </c>
      <c r="F103" t="str">
        <f t="shared" si="1"/>
        <v>California</v>
      </c>
      <c r="G103" t="str">
        <f t="shared" si="2"/>
        <v>Napa County</v>
      </c>
      <c r="H103">
        <f t="shared" si="3"/>
        <v>88</v>
      </c>
      <c r="K103" t="str">
        <f t="shared" si="4"/>
        <v>California</v>
      </c>
      <c r="L103" t="str">
        <f t="shared" si="5"/>
        <v>Napa County</v>
      </c>
      <c r="M103">
        <f t="shared" si="6"/>
        <v>88</v>
      </c>
    </row>
    <row r="104" spans="1:13" x14ac:dyDescent="0.3">
      <c r="A104" t="s">
        <v>19</v>
      </c>
      <c r="B104" t="s">
        <v>49</v>
      </c>
      <c r="C104" s="12">
        <v>25</v>
      </c>
      <c r="D104" s="12">
        <v>1809.3</v>
      </c>
      <c r="F104" t="str">
        <f t="shared" si="1"/>
        <v>California</v>
      </c>
      <c r="G104" t="str">
        <f t="shared" si="2"/>
        <v>Nevada County</v>
      </c>
      <c r="H104">
        <f t="shared" si="3"/>
        <v>25</v>
      </c>
      <c r="K104" t="str">
        <f t="shared" si="4"/>
        <v>California</v>
      </c>
      <c r="L104" t="str">
        <f t="shared" si="5"/>
        <v>Nevada County</v>
      </c>
      <c r="M104">
        <f t="shared" si="6"/>
        <v>25</v>
      </c>
    </row>
    <row r="105" spans="1:13" x14ac:dyDescent="0.3">
      <c r="A105" t="s">
        <v>19</v>
      </c>
      <c r="B105" t="s">
        <v>188</v>
      </c>
      <c r="C105" s="12">
        <v>178</v>
      </c>
      <c r="D105" s="12">
        <v>9680.399999999996</v>
      </c>
      <c r="F105" t="str">
        <f t="shared" si="1"/>
        <v>California</v>
      </c>
      <c r="G105" t="str">
        <f t="shared" si="2"/>
        <v>Orange County</v>
      </c>
      <c r="H105">
        <f t="shared" si="3"/>
        <v>178</v>
      </c>
      <c r="K105" t="str">
        <f t="shared" si="4"/>
        <v>California</v>
      </c>
      <c r="L105" t="str">
        <f t="shared" si="5"/>
        <v>Orange County</v>
      </c>
      <c r="M105">
        <f t="shared" si="6"/>
        <v>178</v>
      </c>
    </row>
    <row r="106" spans="1:13" x14ac:dyDescent="0.3">
      <c r="A106" t="s">
        <v>19</v>
      </c>
      <c r="B106" t="s">
        <v>52</v>
      </c>
      <c r="C106" s="12">
        <v>141</v>
      </c>
      <c r="D106" s="12">
        <v>9414.7999999999993</v>
      </c>
      <c r="F106" t="str">
        <f t="shared" si="1"/>
        <v>California</v>
      </c>
      <c r="G106" t="str">
        <f t="shared" si="2"/>
        <v>Placer County</v>
      </c>
      <c r="H106">
        <f t="shared" si="3"/>
        <v>141</v>
      </c>
      <c r="K106" t="str">
        <f t="shared" si="4"/>
        <v>California</v>
      </c>
      <c r="L106" t="str">
        <f t="shared" si="5"/>
        <v>Placer County</v>
      </c>
      <c r="M106">
        <f t="shared" si="6"/>
        <v>141</v>
      </c>
    </row>
    <row r="107" spans="1:13" x14ac:dyDescent="0.3">
      <c r="A107" t="s">
        <v>19</v>
      </c>
      <c r="B107" t="s">
        <v>338</v>
      </c>
      <c r="C107" s="12">
        <v>6</v>
      </c>
      <c r="D107" s="12">
        <v>206.1</v>
      </c>
      <c r="F107" t="str">
        <f t="shared" si="1"/>
        <v>California</v>
      </c>
      <c r="G107" t="str">
        <f t="shared" si="2"/>
        <v>Plumas County</v>
      </c>
      <c r="H107">
        <f t="shared" si="3"/>
        <v>6</v>
      </c>
      <c r="K107" t="str">
        <f t="shared" si="4"/>
        <v>California</v>
      </c>
      <c r="L107" t="str">
        <f t="shared" si="5"/>
        <v>Plumas County</v>
      </c>
      <c r="M107">
        <f t="shared" si="6"/>
        <v>6</v>
      </c>
    </row>
    <row r="108" spans="1:13" x14ac:dyDescent="0.3">
      <c r="A108" t="s">
        <v>19</v>
      </c>
      <c r="B108" t="s">
        <v>158</v>
      </c>
      <c r="C108" s="12">
        <v>178</v>
      </c>
      <c r="D108" s="12">
        <v>7691.3</v>
      </c>
      <c r="F108" t="str">
        <f t="shared" si="1"/>
        <v>California</v>
      </c>
      <c r="G108" t="str">
        <f t="shared" si="2"/>
        <v>Riverside County</v>
      </c>
      <c r="H108">
        <f t="shared" si="3"/>
        <v>178</v>
      </c>
      <c r="K108" t="str">
        <f t="shared" si="4"/>
        <v>California</v>
      </c>
      <c r="L108" t="str">
        <f t="shared" si="5"/>
        <v>Riverside County</v>
      </c>
      <c r="M108">
        <f t="shared" si="6"/>
        <v>178</v>
      </c>
    </row>
    <row r="109" spans="1:13" x14ac:dyDescent="0.3">
      <c r="A109" t="s">
        <v>19</v>
      </c>
      <c r="B109" t="s">
        <v>55</v>
      </c>
      <c r="C109" s="12">
        <v>699</v>
      </c>
      <c r="D109" s="12">
        <v>37784.900000000016</v>
      </c>
      <c r="F109" t="str">
        <f t="shared" si="1"/>
        <v>California</v>
      </c>
      <c r="G109" t="str">
        <f t="shared" si="2"/>
        <v>Sacramento County</v>
      </c>
      <c r="H109">
        <f t="shared" si="3"/>
        <v>699</v>
      </c>
      <c r="K109" t="str">
        <f t="shared" si="4"/>
        <v>California</v>
      </c>
      <c r="L109" t="str">
        <f t="shared" si="5"/>
        <v>Sacramento County</v>
      </c>
      <c r="M109">
        <f t="shared" si="6"/>
        <v>699</v>
      </c>
    </row>
    <row r="110" spans="1:13" x14ac:dyDescent="0.3">
      <c r="A110" t="s">
        <v>19</v>
      </c>
      <c r="B110" t="s">
        <v>342</v>
      </c>
      <c r="C110" s="12">
        <v>23</v>
      </c>
      <c r="D110" s="12">
        <v>1129.7</v>
      </c>
      <c r="F110" t="str">
        <f t="shared" si="1"/>
        <v>California</v>
      </c>
      <c r="G110" t="str">
        <f t="shared" si="2"/>
        <v>San Benito County</v>
      </c>
      <c r="H110">
        <f t="shared" si="3"/>
        <v>23</v>
      </c>
      <c r="K110" t="str">
        <f t="shared" si="4"/>
        <v>California</v>
      </c>
      <c r="L110" t="str">
        <f t="shared" si="5"/>
        <v>San Benito County</v>
      </c>
      <c r="M110">
        <f t="shared" si="6"/>
        <v>23</v>
      </c>
    </row>
    <row r="111" spans="1:13" x14ac:dyDescent="0.3">
      <c r="A111" t="s">
        <v>19</v>
      </c>
      <c r="B111" t="s">
        <v>59</v>
      </c>
      <c r="C111" s="12">
        <v>356</v>
      </c>
      <c r="D111" s="12">
        <v>20988.9</v>
      </c>
      <c r="F111" t="str">
        <f t="shared" si="1"/>
        <v>California</v>
      </c>
      <c r="G111" t="str">
        <f t="shared" si="2"/>
        <v>San Bernardino County</v>
      </c>
      <c r="H111">
        <f t="shared" si="3"/>
        <v>356</v>
      </c>
      <c r="K111" t="str">
        <f t="shared" si="4"/>
        <v>California</v>
      </c>
      <c r="L111" t="str">
        <f t="shared" si="5"/>
        <v>San Bernardino County</v>
      </c>
      <c r="M111">
        <f t="shared" si="6"/>
        <v>356</v>
      </c>
    </row>
    <row r="112" spans="1:13" x14ac:dyDescent="0.3">
      <c r="A112" t="s">
        <v>19</v>
      </c>
      <c r="B112" t="s">
        <v>62</v>
      </c>
      <c r="C112" s="12">
        <v>1768</v>
      </c>
      <c r="D112" s="12">
        <v>98367.099999999977</v>
      </c>
      <c r="F112" t="str">
        <f t="shared" si="1"/>
        <v>California</v>
      </c>
      <c r="G112" t="str">
        <f t="shared" si="2"/>
        <v>San Diego County</v>
      </c>
      <c r="H112">
        <f t="shared" si="3"/>
        <v>1768</v>
      </c>
      <c r="K112" t="str">
        <f t="shared" si="4"/>
        <v>California</v>
      </c>
      <c r="L112" t="str">
        <f t="shared" si="5"/>
        <v>San Diego County</v>
      </c>
      <c r="M112">
        <f t="shared" si="6"/>
        <v>1768</v>
      </c>
    </row>
    <row r="113" spans="1:13" x14ac:dyDescent="0.3">
      <c r="A113" t="s">
        <v>19</v>
      </c>
      <c r="B113" t="s">
        <v>103</v>
      </c>
      <c r="C113" s="12">
        <v>307</v>
      </c>
      <c r="D113" s="12">
        <v>21911.9</v>
      </c>
      <c r="F113" t="str">
        <f t="shared" si="1"/>
        <v>California</v>
      </c>
      <c r="G113" t="str">
        <f t="shared" si="2"/>
        <v>San Francisco</v>
      </c>
      <c r="H113">
        <f t="shared" si="3"/>
        <v>307</v>
      </c>
      <c r="K113" t="str">
        <f t="shared" si="4"/>
        <v>California</v>
      </c>
      <c r="L113" t="str">
        <f t="shared" si="5"/>
        <v>San Francisco</v>
      </c>
      <c r="M113">
        <f t="shared" si="6"/>
        <v>307</v>
      </c>
    </row>
    <row r="114" spans="1:13" x14ac:dyDescent="0.3">
      <c r="A114" t="s">
        <v>19</v>
      </c>
      <c r="B114" t="s">
        <v>201</v>
      </c>
      <c r="C114" s="12">
        <v>117</v>
      </c>
      <c r="D114" s="12">
        <v>5441.2</v>
      </c>
      <c r="F114" t="str">
        <f t="shared" si="1"/>
        <v>California</v>
      </c>
      <c r="G114" t="str">
        <f t="shared" si="2"/>
        <v>San Joaquin County</v>
      </c>
      <c r="H114">
        <f t="shared" si="3"/>
        <v>117</v>
      </c>
      <c r="K114" t="str">
        <f t="shared" si="4"/>
        <v>California</v>
      </c>
      <c r="L114" t="str">
        <f t="shared" si="5"/>
        <v>San Joaquin County</v>
      </c>
      <c r="M114">
        <f t="shared" si="6"/>
        <v>117</v>
      </c>
    </row>
    <row r="115" spans="1:13" x14ac:dyDescent="0.3">
      <c r="A115" t="s">
        <v>19</v>
      </c>
      <c r="B115" t="s">
        <v>429</v>
      </c>
      <c r="C115" s="12">
        <v>13</v>
      </c>
      <c r="D115" s="12">
        <v>392.8</v>
      </c>
      <c r="F115" t="str">
        <f t="shared" si="1"/>
        <v>California</v>
      </c>
      <c r="G115" t="str">
        <f t="shared" si="2"/>
        <v>San Luis Obispo County</v>
      </c>
      <c r="H115">
        <f t="shared" si="3"/>
        <v>13</v>
      </c>
      <c r="K115" t="str">
        <f t="shared" si="4"/>
        <v>California</v>
      </c>
      <c r="L115" t="str">
        <f t="shared" si="5"/>
        <v>San Luis Obispo County</v>
      </c>
      <c r="M115">
        <f t="shared" si="6"/>
        <v>13</v>
      </c>
    </row>
    <row r="116" spans="1:13" x14ac:dyDescent="0.3">
      <c r="A116" t="s">
        <v>19</v>
      </c>
      <c r="B116" t="s">
        <v>72</v>
      </c>
      <c r="C116" s="12">
        <v>364</v>
      </c>
      <c r="D116" s="12">
        <v>16172.000000000005</v>
      </c>
      <c r="F116" t="str">
        <f t="shared" si="1"/>
        <v>California</v>
      </c>
      <c r="G116" t="str">
        <f t="shared" si="2"/>
        <v>San Mateo County</v>
      </c>
      <c r="H116">
        <f t="shared" si="3"/>
        <v>364</v>
      </c>
      <c r="K116" t="str">
        <f t="shared" si="4"/>
        <v>California</v>
      </c>
      <c r="L116" t="str">
        <f t="shared" si="5"/>
        <v>San Mateo County</v>
      </c>
      <c r="M116">
        <f t="shared" si="6"/>
        <v>364</v>
      </c>
    </row>
    <row r="117" spans="1:13" x14ac:dyDescent="0.3">
      <c r="A117" t="s">
        <v>19</v>
      </c>
      <c r="B117" t="s">
        <v>74</v>
      </c>
      <c r="C117" s="12">
        <v>95</v>
      </c>
      <c r="D117" s="12">
        <v>4334.9999999999991</v>
      </c>
      <c r="F117" t="str">
        <f t="shared" si="1"/>
        <v>California</v>
      </c>
      <c r="G117" t="str">
        <f t="shared" si="2"/>
        <v>Santa Barbara County</v>
      </c>
      <c r="H117">
        <f t="shared" si="3"/>
        <v>95</v>
      </c>
      <c r="K117" t="str">
        <f t="shared" si="4"/>
        <v>California</v>
      </c>
      <c r="L117" t="str">
        <f t="shared" si="5"/>
        <v>Santa Barbara County</v>
      </c>
      <c r="M117">
        <f t="shared" si="6"/>
        <v>95</v>
      </c>
    </row>
    <row r="118" spans="1:13" x14ac:dyDescent="0.3">
      <c r="A118" t="s">
        <v>19</v>
      </c>
      <c r="B118" t="s">
        <v>77</v>
      </c>
      <c r="C118" s="12">
        <v>737</v>
      </c>
      <c r="D118" s="12">
        <v>37449.000000000007</v>
      </c>
      <c r="F118" t="str">
        <f t="shared" si="1"/>
        <v>California</v>
      </c>
      <c r="G118" t="str">
        <f t="shared" si="2"/>
        <v>Santa Clara County</v>
      </c>
      <c r="H118">
        <f t="shared" si="3"/>
        <v>737</v>
      </c>
      <c r="K118" t="str">
        <f t="shared" si="4"/>
        <v>California</v>
      </c>
      <c r="L118" t="str">
        <f t="shared" si="5"/>
        <v>Santa Clara County</v>
      </c>
      <c r="M118">
        <f t="shared" si="6"/>
        <v>737</v>
      </c>
    </row>
    <row r="119" spans="1:13" x14ac:dyDescent="0.3">
      <c r="A119" t="s">
        <v>19</v>
      </c>
      <c r="B119" t="s">
        <v>309</v>
      </c>
      <c r="C119" s="12">
        <v>39</v>
      </c>
      <c r="D119" s="12">
        <v>2447.5</v>
      </c>
      <c r="F119" t="str">
        <f t="shared" si="1"/>
        <v>California</v>
      </c>
      <c r="G119" t="str">
        <f t="shared" si="2"/>
        <v>Santa Cruz County</v>
      </c>
      <c r="H119">
        <f t="shared" si="3"/>
        <v>39</v>
      </c>
      <c r="K119" t="str">
        <f t="shared" si="4"/>
        <v>California</v>
      </c>
      <c r="L119" t="str">
        <f t="shared" si="5"/>
        <v>Santa Cruz County</v>
      </c>
      <c r="M119">
        <f t="shared" si="6"/>
        <v>39</v>
      </c>
    </row>
    <row r="120" spans="1:13" x14ac:dyDescent="0.3">
      <c r="A120" t="s">
        <v>19</v>
      </c>
      <c r="B120" t="s">
        <v>1116</v>
      </c>
      <c r="C120" s="12">
        <v>56</v>
      </c>
      <c r="D120" s="12">
        <v>3391.1</v>
      </c>
      <c r="F120" t="str">
        <f t="shared" si="1"/>
        <v>California</v>
      </c>
      <c r="G120" t="str">
        <f t="shared" si="2"/>
        <v>Shasta County</v>
      </c>
      <c r="H120">
        <f t="shared" si="3"/>
        <v>56</v>
      </c>
      <c r="K120" t="str">
        <f t="shared" si="4"/>
        <v>California</v>
      </c>
      <c r="L120" t="str">
        <f t="shared" si="5"/>
        <v>Shasta County</v>
      </c>
      <c r="M120">
        <f t="shared" si="6"/>
        <v>56</v>
      </c>
    </row>
    <row r="121" spans="1:13" x14ac:dyDescent="0.3">
      <c r="A121" t="s">
        <v>19</v>
      </c>
      <c r="B121" t="s">
        <v>700</v>
      </c>
      <c r="C121" s="12">
        <v>2</v>
      </c>
      <c r="D121" s="12">
        <v>30.8</v>
      </c>
      <c r="F121" t="str">
        <f t="shared" si="1"/>
        <v>California</v>
      </c>
      <c r="G121" t="str">
        <f t="shared" si="2"/>
        <v>Sierra County</v>
      </c>
      <c r="H121">
        <f t="shared" si="3"/>
        <v>2</v>
      </c>
      <c r="K121" t="str">
        <f t="shared" si="4"/>
        <v>California</v>
      </c>
      <c r="L121" t="str">
        <f t="shared" si="5"/>
        <v>Sierra County</v>
      </c>
      <c r="M121">
        <f t="shared" si="6"/>
        <v>2</v>
      </c>
    </row>
    <row r="122" spans="1:13" x14ac:dyDescent="0.3">
      <c r="A122" t="s">
        <v>19</v>
      </c>
      <c r="B122" t="s">
        <v>268</v>
      </c>
      <c r="C122" s="12">
        <v>8</v>
      </c>
      <c r="D122" s="12">
        <v>332.3</v>
      </c>
      <c r="F122" t="str">
        <f t="shared" si="1"/>
        <v>California</v>
      </c>
      <c r="G122" t="str">
        <f t="shared" si="2"/>
        <v>Siskiyou County</v>
      </c>
      <c r="H122">
        <f t="shared" si="3"/>
        <v>8</v>
      </c>
      <c r="K122" t="str">
        <f t="shared" si="4"/>
        <v>California</v>
      </c>
      <c r="L122" t="str">
        <f t="shared" si="5"/>
        <v>Siskiyou County</v>
      </c>
      <c r="M122">
        <f t="shared" si="6"/>
        <v>8</v>
      </c>
    </row>
    <row r="123" spans="1:13" x14ac:dyDescent="0.3">
      <c r="A123" t="s">
        <v>19</v>
      </c>
      <c r="B123" t="s">
        <v>377</v>
      </c>
      <c r="C123" s="12">
        <v>52</v>
      </c>
      <c r="D123" s="12">
        <v>3175.9999999999995</v>
      </c>
      <c r="F123" t="str">
        <f t="shared" si="1"/>
        <v>California</v>
      </c>
      <c r="G123" t="str">
        <f t="shared" si="2"/>
        <v>Solano County</v>
      </c>
      <c r="H123">
        <f t="shared" si="3"/>
        <v>52</v>
      </c>
      <c r="K123" t="str">
        <f t="shared" si="4"/>
        <v>California</v>
      </c>
      <c r="L123" t="str">
        <f t="shared" si="5"/>
        <v>Solano County</v>
      </c>
      <c r="M123">
        <f t="shared" si="6"/>
        <v>52</v>
      </c>
    </row>
    <row r="124" spans="1:13" x14ac:dyDescent="0.3">
      <c r="A124" t="s">
        <v>19</v>
      </c>
      <c r="B124" t="s">
        <v>108</v>
      </c>
      <c r="C124" s="12">
        <v>295</v>
      </c>
      <c r="D124" s="12">
        <v>20939.600000000002</v>
      </c>
      <c r="F124" t="str">
        <f t="shared" si="1"/>
        <v>California</v>
      </c>
      <c r="G124" t="str">
        <f t="shared" si="2"/>
        <v>Sonoma County</v>
      </c>
      <c r="H124">
        <f t="shared" si="3"/>
        <v>295</v>
      </c>
      <c r="K124" t="str">
        <f t="shared" si="4"/>
        <v>California</v>
      </c>
      <c r="L124" t="str">
        <f t="shared" si="5"/>
        <v>Sonoma County</v>
      </c>
      <c r="M124">
        <f t="shared" si="6"/>
        <v>295</v>
      </c>
    </row>
    <row r="125" spans="1:13" x14ac:dyDescent="0.3">
      <c r="A125" t="s">
        <v>19</v>
      </c>
      <c r="B125" t="s">
        <v>110</v>
      </c>
      <c r="C125" s="12">
        <v>195</v>
      </c>
      <c r="D125" s="12">
        <v>10185.899999999996</v>
      </c>
      <c r="F125" t="str">
        <f t="shared" si="1"/>
        <v>California</v>
      </c>
      <c r="G125" t="str">
        <f t="shared" si="2"/>
        <v>Stanislaus County</v>
      </c>
      <c r="H125">
        <f t="shared" si="3"/>
        <v>195</v>
      </c>
      <c r="K125" t="str">
        <f t="shared" si="4"/>
        <v>California</v>
      </c>
      <c r="L125" t="str">
        <f t="shared" si="5"/>
        <v>Stanislaus County</v>
      </c>
      <c r="M125">
        <f t="shared" si="6"/>
        <v>195</v>
      </c>
    </row>
    <row r="126" spans="1:13" x14ac:dyDescent="0.3">
      <c r="A126" t="s">
        <v>19</v>
      </c>
      <c r="B126" t="s">
        <v>292</v>
      </c>
      <c r="C126" s="12">
        <v>20</v>
      </c>
      <c r="D126" s="12">
        <v>958.7</v>
      </c>
      <c r="F126" t="str">
        <f t="shared" si="1"/>
        <v>California</v>
      </c>
      <c r="G126" t="str">
        <f t="shared" si="2"/>
        <v>Sutter County</v>
      </c>
      <c r="H126">
        <f t="shared" si="3"/>
        <v>20</v>
      </c>
      <c r="K126" t="str">
        <f t="shared" si="4"/>
        <v>California</v>
      </c>
      <c r="L126" t="str">
        <f t="shared" si="5"/>
        <v>Sutter County</v>
      </c>
      <c r="M126">
        <f t="shared" si="6"/>
        <v>20</v>
      </c>
    </row>
    <row r="127" spans="1:13" x14ac:dyDescent="0.3">
      <c r="A127" t="s">
        <v>19</v>
      </c>
      <c r="B127" t="s">
        <v>79</v>
      </c>
      <c r="C127" s="12">
        <v>6</v>
      </c>
      <c r="D127" s="12">
        <v>323</v>
      </c>
      <c r="F127" t="str">
        <f t="shared" si="1"/>
        <v>California</v>
      </c>
      <c r="G127" t="str">
        <f t="shared" si="2"/>
        <v>Tehama County</v>
      </c>
      <c r="H127">
        <f t="shared" si="3"/>
        <v>6</v>
      </c>
      <c r="K127" t="str">
        <f t="shared" si="4"/>
        <v>California</v>
      </c>
      <c r="L127" t="str">
        <f t="shared" si="5"/>
        <v>Tehama County</v>
      </c>
      <c r="M127">
        <f t="shared" si="6"/>
        <v>6</v>
      </c>
    </row>
    <row r="128" spans="1:13" x14ac:dyDescent="0.3">
      <c r="A128" t="s">
        <v>19</v>
      </c>
      <c r="B128" t="s">
        <v>608</v>
      </c>
      <c r="C128" s="12">
        <v>5</v>
      </c>
      <c r="D128" s="12">
        <v>167.70000000000002</v>
      </c>
      <c r="F128" t="str">
        <f t="shared" si="1"/>
        <v>California</v>
      </c>
      <c r="G128" t="str">
        <f t="shared" si="2"/>
        <v>Trinity County</v>
      </c>
      <c r="H128">
        <f t="shared" si="3"/>
        <v>5</v>
      </c>
      <c r="K128" t="str">
        <f t="shared" si="4"/>
        <v>California</v>
      </c>
      <c r="L128" t="str">
        <f t="shared" si="5"/>
        <v>Trinity County</v>
      </c>
      <c r="M128">
        <f t="shared" si="6"/>
        <v>5</v>
      </c>
    </row>
    <row r="129" spans="1:13" x14ac:dyDescent="0.3">
      <c r="A129" t="s">
        <v>19</v>
      </c>
      <c r="B129" t="s">
        <v>113</v>
      </c>
      <c r="C129" s="12">
        <v>94</v>
      </c>
      <c r="D129" s="12">
        <v>3978.5</v>
      </c>
      <c r="F129" t="str">
        <f t="shared" si="1"/>
        <v>California</v>
      </c>
      <c r="G129" t="str">
        <f t="shared" si="2"/>
        <v>Tulare County</v>
      </c>
      <c r="H129">
        <f t="shared" si="3"/>
        <v>94</v>
      </c>
      <c r="K129" t="str">
        <f t="shared" si="4"/>
        <v>California</v>
      </c>
      <c r="L129" t="str">
        <f t="shared" si="5"/>
        <v>Tulare County</v>
      </c>
      <c r="M129">
        <f t="shared" si="6"/>
        <v>94</v>
      </c>
    </row>
    <row r="130" spans="1:13" x14ac:dyDescent="0.3">
      <c r="A130" t="s">
        <v>19</v>
      </c>
      <c r="B130" t="s">
        <v>997</v>
      </c>
      <c r="C130" s="12">
        <v>28</v>
      </c>
      <c r="D130" s="12">
        <v>1405</v>
      </c>
      <c r="F130" t="str">
        <f t="shared" si="1"/>
        <v>California</v>
      </c>
      <c r="G130" t="str">
        <f t="shared" si="2"/>
        <v>Tuolumne County</v>
      </c>
      <c r="H130">
        <f t="shared" si="3"/>
        <v>28</v>
      </c>
      <c r="K130" t="str">
        <f t="shared" si="4"/>
        <v>California</v>
      </c>
      <c r="L130" t="str">
        <f t="shared" si="5"/>
        <v>Tuolumne County</v>
      </c>
      <c r="M130">
        <f t="shared" si="6"/>
        <v>28</v>
      </c>
    </row>
    <row r="131" spans="1:13" x14ac:dyDescent="0.3">
      <c r="A131" t="s">
        <v>19</v>
      </c>
      <c r="B131" t="s">
        <v>82</v>
      </c>
      <c r="C131" s="12">
        <v>179</v>
      </c>
      <c r="D131" s="12">
        <v>9869.0999999999985</v>
      </c>
      <c r="F131" t="str">
        <f t="shared" si="1"/>
        <v>California</v>
      </c>
      <c r="G131" t="str">
        <f t="shared" si="2"/>
        <v>Ventura County</v>
      </c>
      <c r="H131">
        <f t="shared" si="3"/>
        <v>179</v>
      </c>
      <c r="K131" t="str">
        <f t="shared" si="4"/>
        <v>California</v>
      </c>
      <c r="L131" t="str">
        <f t="shared" si="5"/>
        <v>Ventura County</v>
      </c>
      <c r="M131">
        <f t="shared" si="6"/>
        <v>179</v>
      </c>
    </row>
    <row r="132" spans="1:13" x14ac:dyDescent="0.3">
      <c r="A132" t="s">
        <v>19</v>
      </c>
      <c r="B132" t="s">
        <v>243</v>
      </c>
      <c r="C132" s="12">
        <v>15</v>
      </c>
      <c r="D132" s="12">
        <v>615.29999999999995</v>
      </c>
      <c r="F132" t="str">
        <f t="shared" si="1"/>
        <v>California</v>
      </c>
      <c r="G132" t="str">
        <f t="shared" si="2"/>
        <v>Yolo County</v>
      </c>
      <c r="H132">
        <f t="shared" si="3"/>
        <v>15</v>
      </c>
      <c r="K132" t="str">
        <f t="shared" si="4"/>
        <v>California</v>
      </c>
      <c r="L132" t="str">
        <f t="shared" si="5"/>
        <v>Yolo County</v>
      </c>
      <c r="M132">
        <f t="shared" si="6"/>
        <v>15</v>
      </c>
    </row>
    <row r="133" spans="1:13" x14ac:dyDescent="0.3">
      <c r="A133" t="s">
        <v>19</v>
      </c>
      <c r="B133" t="s">
        <v>1911</v>
      </c>
      <c r="C133" s="12">
        <v>3</v>
      </c>
      <c r="D133" s="12">
        <v>285</v>
      </c>
      <c r="F133" t="str">
        <f t="shared" si="1"/>
        <v>California</v>
      </c>
      <c r="G133" t="str">
        <f t="shared" si="2"/>
        <v>Yuba County</v>
      </c>
      <c r="H133">
        <f t="shared" si="3"/>
        <v>3</v>
      </c>
      <c r="K133" t="str">
        <f t="shared" si="4"/>
        <v>California</v>
      </c>
      <c r="L133" t="str">
        <f t="shared" si="5"/>
        <v>Yuba County</v>
      </c>
      <c r="M133">
        <f t="shared" si="6"/>
        <v>3</v>
      </c>
    </row>
    <row r="136" spans="1:13" x14ac:dyDescent="0.3">
      <c r="A136" t="s">
        <v>2516</v>
      </c>
    </row>
    <row r="138" spans="1:13" x14ac:dyDescent="0.3">
      <c r="A138" s="6" t="s">
        <v>2528</v>
      </c>
      <c r="B138" t="s">
        <v>2521</v>
      </c>
    </row>
    <row r="139" spans="1:13" x14ac:dyDescent="0.3">
      <c r="A139" s="7">
        <v>0</v>
      </c>
      <c r="B139" s="12">
        <v>175</v>
      </c>
    </row>
    <row r="140" spans="1:13" x14ac:dyDescent="0.3">
      <c r="A140" s="7">
        <v>1</v>
      </c>
      <c r="B140" s="12">
        <v>888</v>
      </c>
    </row>
    <row r="141" spans="1:13" x14ac:dyDescent="0.3">
      <c r="A141" s="7">
        <v>2</v>
      </c>
      <c r="B141" s="12">
        <v>538</v>
      </c>
    </row>
    <row r="142" spans="1:13" x14ac:dyDescent="0.3">
      <c r="A142" s="7">
        <v>3</v>
      </c>
      <c r="B142" s="12">
        <v>344</v>
      </c>
    </row>
    <row r="143" spans="1:13" x14ac:dyDescent="0.3">
      <c r="A143" s="7">
        <v>4</v>
      </c>
      <c r="B143" s="12">
        <v>200</v>
      </c>
    </row>
    <row r="144" spans="1:13" x14ac:dyDescent="0.3">
      <c r="A144" s="7">
        <v>5</v>
      </c>
      <c r="B144" s="12">
        <v>94</v>
      </c>
    </row>
    <row r="145" spans="1:7" x14ac:dyDescent="0.3">
      <c r="A145" s="7">
        <v>6</v>
      </c>
      <c r="B145" s="12">
        <v>51</v>
      </c>
    </row>
    <row r="146" spans="1:7" x14ac:dyDescent="0.3">
      <c r="A146" s="7">
        <v>7</v>
      </c>
      <c r="B146" s="12">
        <v>32</v>
      </c>
    </row>
    <row r="147" spans="1:7" x14ac:dyDescent="0.3">
      <c r="A147" s="7">
        <v>8</v>
      </c>
      <c r="B147" s="12">
        <v>23</v>
      </c>
    </row>
    <row r="148" spans="1:7" x14ac:dyDescent="0.3">
      <c r="A148" s="7">
        <v>9</v>
      </c>
      <c r="B148" s="12">
        <v>9</v>
      </c>
    </row>
    <row r="149" spans="1:7" x14ac:dyDescent="0.3">
      <c r="A149" s="7">
        <v>10</v>
      </c>
      <c r="B149" s="12">
        <v>8</v>
      </c>
    </row>
    <row r="150" spans="1:7" x14ac:dyDescent="0.3">
      <c r="A150" s="7">
        <v>11</v>
      </c>
      <c r="B150" s="12">
        <v>11</v>
      </c>
    </row>
    <row r="151" spans="1:7" x14ac:dyDescent="0.3">
      <c r="A151" s="7">
        <v>12</v>
      </c>
      <c r="B151" s="12">
        <v>4</v>
      </c>
    </row>
    <row r="152" spans="1:7" x14ac:dyDescent="0.3">
      <c r="A152" s="7">
        <v>13</v>
      </c>
      <c r="B152" s="12">
        <v>10</v>
      </c>
    </row>
    <row r="153" spans="1:7" x14ac:dyDescent="0.3">
      <c r="A153" s="7">
        <v>14</v>
      </c>
      <c r="B153" s="12">
        <v>13</v>
      </c>
    </row>
    <row r="154" spans="1:7" x14ac:dyDescent="0.3">
      <c r="A154" s="7" t="s">
        <v>2529</v>
      </c>
      <c r="B154" s="12">
        <v>2400</v>
      </c>
    </row>
    <row r="157" spans="1:7" x14ac:dyDescent="0.3">
      <c r="A157" t="s">
        <v>2517</v>
      </c>
    </row>
    <row r="159" spans="1:7" x14ac:dyDescent="0.3">
      <c r="A159" s="6" t="s">
        <v>2521</v>
      </c>
      <c r="B159" s="6" t="s">
        <v>2530</v>
      </c>
    </row>
    <row r="160" spans="1:7" x14ac:dyDescent="0.3">
      <c r="A160" s="6" t="s">
        <v>2528</v>
      </c>
      <c r="B160">
        <v>1</v>
      </c>
      <c r="C160">
        <v>2</v>
      </c>
      <c r="D160">
        <v>3</v>
      </c>
      <c r="E160">
        <v>4</v>
      </c>
      <c r="F160">
        <v>5</v>
      </c>
      <c r="G160" t="s">
        <v>2529</v>
      </c>
    </row>
    <row r="161" spans="1:7" x14ac:dyDescent="0.3">
      <c r="A161" s="7" t="s">
        <v>2544</v>
      </c>
      <c r="B161" s="12">
        <v>7</v>
      </c>
      <c r="C161" s="12">
        <v>37</v>
      </c>
      <c r="D161" s="12">
        <v>150</v>
      </c>
      <c r="E161" s="12">
        <v>312</v>
      </c>
      <c r="F161" s="12">
        <v>224</v>
      </c>
      <c r="G161" s="12">
        <v>730</v>
      </c>
    </row>
    <row r="162" spans="1:7" x14ac:dyDescent="0.3">
      <c r="A162" s="7" t="s">
        <v>2545</v>
      </c>
      <c r="B162" s="12">
        <v>8</v>
      </c>
      <c r="C162" s="12">
        <v>51</v>
      </c>
      <c r="D162" s="12">
        <v>182</v>
      </c>
      <c r="E162" s="12">
        <v>373</v>
      </c>
      <c r="F162" s="12">
        <v>247</v>
      </c>
      <c r="G162" s="12">
        <v>861</v>
      </c>
    </row>
    <row r="163" spans="1:7" x14ac:dyDescent="0.3">
      <c r="A163" s="7" t="s">
        <v>2546</v>
      </c>
      <c r="B163" s="12">
        <v>6</v>
      </c>
      <c r="C163" s="12">
        <v>39</v>
      </c>
      <c r="D163" s="12">
        <v>163</v>
      </c>
      <c r="E163" s="12">
        <v>351</v>
      </c>
      <c r="F163" s="12">
        <v>250</v>
      </c>
      <c r="G163" s="12">
        <v>809</v>
      </c>
    </row>
    <row r="164" spans="1:7" x14ac:dyDescent="0.3">
      <c r="A164" s="7" t="s">
        <v>2529</v>
      </c>
      <c r="B164" s="12">
        <v>21</v>
      </c>
      <c r="C164" s="12">
        <v>127</v>
      </c>
      <c r="D164" s="12">
        <v>495</v>
      </c>
      <c r="E164" s="12">
        <v>1036</v>
      </c>
      <c r="F164" s="12">
        <v>721</v>
      </c>
      <c r="G164" s="12">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A693-246A-4FC2-A084-AEBEF74348D4}">
  <dimension ref="A3:N10"/>
  <sheetViews>
    <sheetView showGridLines="0" zoomScale="89" workbookViewId="0">
      <selection activeCell="N4" sqref="N4"/>
    </sheetView>
  </sheetViews>
  <sheetFormatPr defaultRowHeight="14.4" x14ac:dyDescent="0.3"/>
  <cols>
    <col min="1" max="1" width="13.5546875" bestFit="1" customWidth="1"/>
    <col min="2" max="2" width="15.5546875" bestFit="1" customWidth="1"/>
    <col min="3" max="3" width="7.109375" bestFit="1" customWidth="1"/>
    <col min="4" max="4" width="8.5546875" bestFit="1" customWidth="1"/>
    <col min="5" max="5" width="6.5546875" bestFit="1" customWidth="1"/>
    <col min="6" max="6" width="10.5546875" bestFit="1" customWidth="1"/>
    <col min="7" max="7" width="11.44140625" customWidth="1"/>
    <col min="10" max="10" width="12.88671875" customWidth="1"/>
    <col min="11" max="14" width="8.88671875" customWidth="1"/>
  </cols>
  <sheetData>
    <row r="3" spans="1:14" x14ac:dyDescent="0.3">
      <c r="A3" s="6" t="s">
        <v>2520</v>
      </c>
      <c r="B3" s="6" t="s">
        <v>2530</v>
      </c>
    </row>
    <row r="4" spans="1:14" ht="25.8" customHeight="1" x14ac:dyDescent="0.3">
      <c r="A4" s="6" t="s">
        <v>2528</v>
      </c>
      <c r="B4" t="s">
        <v>2531</v>
      </c>
      <c r="C4" t="s">
        <v>2532</v>
      </c>
      <c r="D4" t="s">
        <v>2533</v>
      </c>
      <c r="E4" t="s">
        <v>2534</v>
      </c>
      <c r="F4" t="s">
        <v>2529</v>
      </c>
      <c r="J4" s="10"/>
      <c r="K4" s="10" t="str">
        <f>B4</f>
        <v>Female</v>
      </c>
      <c r="L4" s="10" t="str">
        <f>C4</f>
        <v>Male</v>
      </c>
      <c r="M4" s="10" t="str">
        <f>D4</f>
        <v>Unknown</v>
      </c>
      <c r="N4" s="10" t="str">
        <f>E4</f>
        <v>Others</v>
      </c>
    </row>
    <row r="5" spans="1:14" ht="25.8" customHeight="1" x14ac:dyDescent="0.3">
      <c r="A5" s="7" t="s">
        <v>18</v>
      </c>
      <c r="B5" s="9">
        <v>0.18961825201634841</v>
      </c>
      <c r="C5" s="9">
        <v>0.12262322351336576</v>
      </c>
      <c r="D5" s="9">
        <v>3.0599220547662797E-2</v>
      </c>
      <c r="E5" s="9">
        <v>1.060537752469185E-2</v>
      </c>
      <c r="F5" s="9">
        <v>0.35344607360206881</v>
      </c>
      <c r="J5" s="10" t="str">
        <f>A5</f>
        <v>App</v>
      </c>
      <c r="K5" s="11">
        <f t="shared" ref="K5:N9" si="0">B5</f>
        <v>0.18961825201634841</v>
      </c>
      <c r="L5" s="11">
        <f t="shared" si="0"/>
        <v>0.12262322351336576</v>
      </c>
      <c r="M5" s="11">
        <f t="shared" si="0"/>
        <v>3.0599220547662797E-2</v>
      </c>
      <c r="N5" s="11">
        <f t="shared" si="0"/>
        <v>1.060537752469185E-2</v>
      </c>
    </row>
    <row r="6" spans="1:14" ht="25.8" customHeight="1" x14ac:dyDescent="0.3">
      <c r="A6" s="7" t="s">
        <v>51</v>
      </c>
      <c r="B6" s="9">
        <v>5.0283982091147303E-2</v>
      </c>
      <c r="C6" s="9">
        <v>4.3060781812819873E-2</v>
      </c>
      <c r="D6" s="9">
        <v>1.7794988689097006E-2</v>
      </c>
      <c r="E6" s="9">
        <v>1.5320025675641944E-3</v>
      </c>
      <c r="F6" s="9">
        <v>0.11267175516062837</v>
      </c>
      <c r="J6" s="10" t="str">
        <f>A6</f>
        <v>Instagram</v>
      </c>
      <c r="K6" s="11">
        <f t="shared" si="0"/>
        <v>5.0283982091147303E-2</v>
      </c>
      <c r="L6" s="11">
        <f t="shared" si="0"/>
        <v>4.3060781812819873E-2</v>
      </c>
      <c r="M6" s="11">
        <f t="shared" si="0"/>
        <v>1.7794988689097006E-2</v>
      </c>
      <c r="N6" s="11">
        <f t="shared" si="0"/>
        <v>1.5320025675641944E-3</v>
      </c>
    </row>
    <row r="7" spans="1:14" ht="25.8" customHeight="1" x14ac:dyDescent="0.3">
      <c r="A7" s="7" t="s">
        <v>70</v>
      </c>
      <c r="B7" s="9">
        <v>6.3496059750411282E-2</v>
      </c>
      <c r="C7" s="9">
        <v>4.6071629863988765E-2</v>
      </c>
      <c r="D7" s="9">
        <v>3.8927934093844286E-3</v>
      </c>
      <c r="E7" s="9">
        <v>2.306247051322625E-3</v>
      </c>
      <c r="F7" s="9">
        <v>0.11576673007510711</v>
      </c>
      <c r="J7" s="10" t="str">
        <f>A7</f>
        <v>Partner App</v>
      </c>
      <c r="K7" s="11">
        <f t="shared" si="0"/>
        <v>6.3496059750411282E-2</v>
      </c>
      <c r="L7" s="11">
        <f t="shared" si="0"/>
        <v>4.6071629863988765E-2</v>
      </c>
      <c r="M7" s="11">
        <f t="shared" si="0"/>
        <v>3.8927934093844286E-3</v>
      </c>
      <c r="N7" s="11">
        <f t="shared" si="0"/>
        <v>2.306247051322625E-3</v>
      </c>
    </row>
    <row r="8" spans="1:14" ht="25.8" customHeight="1" x14ac:dyDescent="0.3">
      <c r="A8" s="7" t="s">
        <v>40</v>
      </c>
      <c r="B8" s="9">
        <v>9.6337892927149532E-2</v>
      </c>
      <c r="C8" s="9">
        <v>6.7920115842382611E-2</v>
      </c>
      <c r="D8" s="9">
        <v>1.2933041488102518E-2</v>
      </c>
      <c r="E8" s="9">
        <v>5.4979832664581261E-3</v>
      </c>
      <c r="F8" s="9">
        <v>0.1826890335240928</v>
      </c>
      <c r="J8" s="10" t="str">
        <f>A8</f>
        <v>Target.com</v>
      </c>
      <c r="K8" s="11">
        <f t="shared" si="0"/>
        <v>9.6337892927149532E-2</v>
      </c>
      <c r="L8" s="11">
        <f t="shared" si="0"/>
        <v>6.7920115842382611E-2</v>
      </c>
      <c r="M8" s="11">
        <f t="shared" si="0"/>
        <v>1.2933041488102518E-2</v>
      </c>
      <c r="N8" s="11">
        <f t="shared" si="0"/>
        <v>5.4979832664581261E-3</v>
      </c>
    </row>
    <row r="9" spans="1:14" ht="25.8" customHeight="1" x14ac:dyDescent="0.3">
      <c r="A9" s="7" t="s">
        <v>35</v>
      </c>
      <c r="B9" s="9">
        <v>0.12522098709469262</v>
      </c>
      <c r="C9" s="9">
        <v>9.1492740283116228E-2</v>
      </c>
      <c r="D9" s="9">
        <v>1.2408404181197551E-2</v>
      </c>
      <c r="E9" s="9">
        <v>6.3042760790965081E-3</v>
      </c>
      <c r="F9" s="9">
        <v>0.23542640763810288</v>
      </c>
      <c r="J9" s="10" t="str">
        <f>A9</f>
        <v>Website</v>
      </c>
      <c r="K9" s="11">
        <f t="shared" si="0"/>
        <v>0.12522098709469262</v>
      </c>
      <c r="L9" s="11">
        <f t="shared" si="0"/>
        <v>9.1492740283116228E-2</v>
      </c>
      <c r="M9" s="11">
        <f t="shared" si="0"/>
        <v>1.2408404181197551E-2</v>
      </c>
      <c r="N9" s="11">
        <f t="shared" si="0"/>
        <v>6.3042760790965081E-3</v>
      </c>
    </row>
    <row r="10" spans="1:14" x14ac:dyDescent="0.3">
      <c r="A10" s="7" t="s">
        <v>2529</v>
      </c>
      <c r="B10" s="9">
        <v>0.52495717387974916</v>
      </c>
      <c r="C10" s="9">
        <v>0.3711684913156732</v>
      </c>
      <c r="D10" s="9">
        <v>7.7628448315444312E-2</v>
      </c>
      <c r="E10" s="9">
        <v>2.6245886489133303E-2</v>
      </c>
      <c r="F10" s="9">
        <v>1</v>
      </c>
    </row>
  </sheetData>
  <conditionalFormatting sqref="K5:N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Q2401"/>
  <sheetViews>
    <sheetView workbookViewId="0">
      <selection activeCell="O3" sqref="O3"/>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 min="17" max="17" width="13.88671875" style="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 "Male",orders[[#This Row],[Customer Gender]]="F","Female",orders[[#This Row],[Customer Gender]]="o","Others",TRUE,"Unknown")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 "Male",orders[[#This Row],[Customer Gender]]="F","Female",orders[[#This Row],[Customer Gender]]="o","Others",TRUE,"Unknown")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 "Male",orders[[#This Row],[Customer Gender]]="F","Female",orders[[#This Row],[Customer Gender]]="o","Others",TRUE,"Unknown")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 "Male",orders[[#This Row],[Customer Gender]]="F","Female",orders[[#This Row],[Customer Gender]]="o","Others",TRUE,"Unknown")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 "Male",orders[[#This Row],[Customer Gender]]="F","Female",orders[[#This Row],[Customer Gender]]="o","Others",TRUE,"Unknown")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 "Male",orders[[#This Row],[Customer Gender]]="F","Female",orders[[#This Row],[Customer Gender]]="o","Others",TRUE,"Unknown")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 "Male",orders[[#This Row],[Customer Gender]]="F","Female",orders[[#This Row],[Customer Gender]]="o","Others",TRUE,"Unknown")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 "Male",orders[[#This Row],[Customer Gender]]="F","Female",orders[[#This Row],[Customer Gender]]="o","Others",TRUE,"Unknown")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 "Male",orders[[#This Row],[Customer Gender]]="F","Female",orders[[#This Row],[Customer Gender]]="o","Others",TRUE,"Unknown")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 "Male",orders[[#This Row],[Customer Gender]]="F","Female",orders[[#This Row],[Customer Gender]]="o","Others",TRUE,"Unknown")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 "Male",orders[[#This Row],[Customer Gender]]="F","Female",orders[[#This Row],[Customer Gender]]="o","Others",TRUE,"Unknown")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 "Male",orders[[#This Row],[Customer Gender]]="F","Female",orders[[#This Row],[Customer Gender]]="o","Others",TRUE,"Unknown")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 "Male",orders[[#This Row],[Customer Gender]]="F","Female",orders[[#This Row],[Customer Gender]]="o","Others",TRUE,"Unknown")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 "Male",orders[[#This Row],[Customer Gender]]="F","Female",orders[[#This Row],[Customer Gender]]="o","Others",TRUE,"Unknown")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 "Male",orders[[#This Row],[Customer Gender]]="F","Female",orders[[#This Row],[Customer Gender]]="o","Others",TRUE,"Unknown")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 "Male",orders[[#This Row],[Customer Gender]]="F","Female",orders[[#This Row],[Customer Gender]]="o","Others",TRUE,"Unknown")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 "Male",orders[[#This Row],[Customer Gender]]="F","Female",orders[[#This Row],[Customer Gender]]="o","Others",TRUE,"Unknown")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 "Male",orders[[#This Row],[Customer Gender]]="F","Female",orders[[#This Row],[Customer Gender]]="o","Others",TRUE,"Unknown")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 "Male",orders[[#This Row],[Customer Gender]]="F","Female",orders[[#This Row],[Customer Gender]]="o","Others",TRUE,"Unknown")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 "Male",orders[[#This Row],[Customer Gender]]="F","Female",orders[[#This Row],[Customer Gender]]="o","Others",TRUE,"Unknown")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 "Male",orders[[#This Row],[Customer Gender]]="F","Female",orders[[#This Row],[Customer Gender]]="o","Others",TRUE,"Unknown")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 "Male",orders[[#This Row],[Customer Gender]]="F","Female",orders[[#This Row],[Customer Gender]]="o","Others",TRUE,"Unknown")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 "Male",orders[[#This Row],[Customer Gender]]="F","Female",orders[[#This Row],[Customer Gender]]="o","Others",TRUE,"Unknown")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 "Male",orders[[#This Row],[Customer Gender]]="F","Female",orders[[#This Row],[Customer Gender]]="o","Others",TRUE,"Unknown")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 "Male",orders[[#This Row],[Customer Gender]]="F","Female",orders[[#This Row],[Customer Gender]]="o","Others",TRUE,"Unknown")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 "Male",orders[[#This Row],[Customer Gender]]="F","Female",orders[[#This Row],[Customer Gender]]="o","Others",TRUE,"Unknown")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 "Male",orders[[#This Row],[Customer Gender]]="F","Female",orders[[#This Row],[Customer Gender]]="o","Others",TRUE,"Unknown")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 "Male",orders[[#This Row],[Customer Gender]]="F","Female",orders[[#This Row],[Customer Gender]]="o","Others",TRUE,"Unknown")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 "Male",orders[[#This Row],[Customer Gender]]="F","Female",orders[[#This Row],[Customer Gender]]="o","Others",TRUE,"Unknown")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 "Male",orders[[#This Row],[Customer Gender]]="F","Female",orders[[#This Row],[Customer Gender]]="o","Others",TRUE,"Unknown")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 "Male",orders[[#This Row],[Customer Gender]]="F","Female",orders[[#This Row],[Customer Gender]]="o","Others",TRUE,"Unknown")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 "Male",orders[[#This Row],[Customer Gender]]="F","Female",orders[[#This Row],[Customer Gender]]="o","Others",TRUE,"Unknown")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 "Male",orders[[#This Row],[Customer Gender]]="F","Female",orders[[#This Row],[Customer Gender]]="o","Others",TRUE,"Unknown")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 "Male",orders[[#This Row],[Customer Gender]]="F","Female",orders[[#This Row],[Customer Gender]]="o","Others",TRUE,"Unknown")</f>
        <v>Others</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 "Male",orders[[#This Row],[Customer Gender]]="F","Female",orders[[#This Row],[Customer Gender]]="o","Others",TRUE,"Unknown")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 "Male",orders[[#This Row],[Customer Gender]]="F","Female",orders[[#This Row],[Customer Gender]]="o","Others",TRUE,"Unknown")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 "Male",orders[[#This Row],[Customer Gender]]="F","Female",orders[[#This Row],[Customer Gender]]="o","Others",TRUE,"Unknown")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 "Male",orders[[#This Row],[Customer Gender]]="F","Female",orders[[#This Row],[Customer Gender]]="o","Others",TRUE,"Unknown")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 "Male",orders[[#This Row],[Customer Gender]]="F","Female",orders[[#This Row],[Customer Gender]]="o","Others",TRUE,"Unknown")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 "Male",orders[[#This Row],[Customer Gender]]="F","Female",orders[[#This Row],[Customer Gender]]="o","Others",TRUE,"Unknown")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 "Male",orders[[#This Row],[Customer Gender]]="F","Female",orders[[#This Row],[Customer Gender]]="o","Others",TRUE,"Unknown")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 "Male",orders[[#This Row],[Customer Gender]]="F","Female",orders[[#This Row],[Customer Gender]]="o","Others",TRUE,"Unknown")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 "Male",orders[[#This Row],[Customer Gender]]="F","Female",orders[[#This Row],[Customer Gender]]="o","Others",TRUE,"Unknown")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 "Male",orders[[#This Row],[Customer Gender]]="F","Female",orders[[#This Row],[Customer Gender]]="o","Others",TRUE,"Unknown")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 "Male",orders[[#This Row],[Customer Gender]]="F","Female",orders[[#This Row],[Customer Gender]]="o","Others",TRUE,"Unknown")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 "Male",orders[[#This Row],[Customer Gender]]="F","Female",orders[[#This Row],[Customer Gender]]="o","Others",TRUE,"Unknown")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 "Male",orders[[#This Row],[Customer Gender]]="F","Female",orders[[#This Row],[Customer Gender]]="o","Others",TRUE,"Unknown")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 "Male",orders[[#This Row],[Customer Gender]]="F","Female",orders[[#This Row],[Customer Gender]]="o","Others",TRUE,"Unknown")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 "Male",orders[[#This Row],[Customer Gender]]="F","Female",orders[[#This Row],[Customer Gender]]="o","Others",TRUE,"Unknown")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 "Male",orders[[#This Row],[Customer Gender]]="F","Female",orders[[#This Row],[Customer Gender]]="o","Others",TRUE,"Unknown")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 "Male",orders[[#This Row],[Customer Gender]]="F","Female",orders[[#This Row],[Customer Gender]]="o","Others",TRUE,"Unknown")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 "Male",orders[[#This Row],[Customer Gender]]="F","Female",orders[[#This Row],[Customer Gender]]="o","Others",TRUE,"Unknown")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 "Male",orders[[#This Row],[Customer Gender]]="F","Female",orders[[#This Row],[Customer Gender]]="o","Others",TRUE,"Unknown")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 "Male",orders[[#This Row],[Customer Gender]]="F","Female",orders[[#This Row],[Customer Gender]]="o","Others",TRUE,"Unknown")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 "Male",orders[[#This Row],[Customer Gender]]="F","Female",orders[[#This Row],[Customer Gender]]="o","Others",TRUE,"Unknown")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 "Male",orders[[#This Row],[Customer Gender]]="F","Female",orders[[#This Row],[Customer Gender]]="o","Others",TRUE,"Unknown")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 "Male",orders[[#This Row],[Customer Gender]]="F","Female",orders[[#This Row],[Customer Gender]]="o","Others",TRUE,"Unknown")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 "Male",orders[[#This Row],[Customer Gender]]="F","Female",orders[[#This Row],[Customer Gender]]="o","Others",TRUE,"Unknown")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 "Male",orders[[#This Row],[Customer Gender]]="F","Female",orders[[#This Row],[Customer Gender]]="o","Others",TRUE,"Unknown")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 "Male",orders[[#This Row],[Customer Gender]]="F","Female",orders[[#This Row],[Customer Gender]]="o","Others",TRUE,"Unknown")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 "Male",orders[[#This Row],[Customer Gender]]="F","Female",orders[[#This Row],[Customer Gender]]="o","Others",TRUE,"Unknown")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 "Male",orders[[#This Row],[Customer Gender]]="F","Female",orders[[#This Row],[Customer Gender]]="o","Others",TRUE,"Unknown")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 "Male",orders[[#This Row],[Customer Gender]]="F","Female",orders[[#This Row],[Customer Gender]]="o","Others",TRUE,"Unknown")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 "Male",orders[[#This Row],[Customer Gender]]="F","Female",orders[[#This Row],[Customer Gender]]="o","Others",TRUE,"Unknown")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 "Male",orders[[#This Row],[Customer Gender]]="F","Female",orders[[#This Row],[Customer Gender]]="o","Others",TRUE,"Unknown")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 "Male",orders[[#This Row],[Customer Gender]]="F","Female",orders[[#This Row],[Customer Gender]]="o","Others",TRUE,"Unknown")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 "Male",orders[[#This Row],[Customer Gender]]="F","Female",orders[[#This Row],[Customer Gender]]="o","Others",TRUE,"Unknown")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 "Male",orders[[#This Row],[Customer Gender]]="F","Female",orders[[#This Row],[Customer Gender]]="o","Others",TRUE,"Unknown")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 "Male",orders[[#This Row],[Customer Gender]]="F","Female",orders[[#This Row],[Customer Gender]]="o","Others",TRUE,"Unknown")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 "Male",orders[[#This Row],[Customer Gender]]="F","Female",orders[[#This Row],[Customer Gender]]="o","Others",TRUE,"Unknown")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 "Male",orders[[#This Row],[Customer Gender]]="F","Female",orders[[#This Row],[Customer Gender]]="o","Others",TRUE,"Unknown")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 "Male",orders[[#This Row],[Customer Gender]]="F","Female",orders[[#This Row],[Customer Gender]]="o","Others",TRUE,"Unknown")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 "Male",orders[[#This Row],[Customer Gender]]="F","Female",orders[[#This Row],[Customer Gender]]="o","Others",TRUE,"Unknown")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 "Male",orders[[#This Row],[Customer Gender]]="F","Female",orders[[#This Row],[Customer Gender]]="o","Others",TRUE,"Unknown")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 "Male",orders[[#This Row],[Customer Gender]]="F","Female",orders[[#This Row],[Customer Gender]]="o","Others",TRUE,"Unknown")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 "Male",orders[[#This Row],[Customer Gender]]="F","Female",orders[[#This Row],[Customer Gender]]="o","Others",TRUE,"Unknown")</f>
        <v>Others</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 "Male",orders[[#This Row],[Customer Gender]]="F","Female",orders[[#This Row],[Customer Gender]]="o","Others",TRUE,"Unknown")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 "Male",orders[[#This Row],[Customer Gender]]="F","Female",orders[[#This Row],[Customer Gender]]="o","Others",TRUE,"Unknown")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 "Male",orders[[#This Row],[Customer Gender]]="F","Female",orders[[#This Row],[Customer Gender]]="o","Others",TRUE,"Unknown")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 "Male",orders[[#This Row],[Customer Gender]]="F","Female",orders[[#This Row],[Customer Gender]]="o","Others",TRUE,"Unknown")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 "Male",orders[[#This Row],[Customer Gender]]="F","Female",orders[[#This Row],[Customer Gender]]="o","Others",TRUE,"Unknown")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 "Male",orders[[#This Row],[Customer Gender]]="F","Female",orders[[#This Row],[Customer Gender]]="o","Others",TRUE,"Unknown")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 "Male",orders[[#This Row],[Customer Gender]]="F","Female",orders[[#This Row],[Customer Gender]]="o","Others",TRUE,"Unknown")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 "Male",orders[[#This Row],[Customer Gender]]="F","Female",orders[[#This Row],[Customer Gender]]="o","Others",TRUE,"Unknown")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 "Male",orders[[#This Row],[Customer Gender]]="F","Female",orders[[#This Row],[Customer Gender]]="o","Others",TRUE,"Unknown")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 "Male",orders[[#This Row],[Customer Gender]]="F","Female",orders[[#This Row],[Customer Gender]]="o","Others",TRUE,"Unknown")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 "Male",orders[[#This Row],[Customer Gender]]="F","Female",orders[[#This Row],[Customer Gender]]="o","Others",TRUE,"Unknown")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 "Male",orders[[#This Row],[Customer Gender]]="F","Female",orders[[#This Row],[Customer Gender]]="o","Others",TRUE,"Unknown")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 "Male",orders[[#This Row],[Customer Gender]]="F","Female",orders[[#This Row],[Customer Gender]]="o","Others",TRUE,"Unknown")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 "Male",orders[[#This Row],[Customer Gender]]="F","Female",orders[[#This Row],[Customer Gender]]="o","Others",TRUE,"Unknown")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 "Male",orders[[#This Row],[Customer Gender]]="F","Female",orders[[#This Row],[Customer Gender]]="o","Others",TRUE,"Unknown")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 "Male",orders[[#This Row],[Customer Gender]]="F","Female",orders[[#This Row],[Customer Gender]]="o","Others",TRUE,"Unknown")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 "Male",orders[[#This Row],[Customer Gender]]="F","Female",orders[[#This Row],[Customer Gender]]="o","Others",TRUE,"Unknown")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 "Male",orders[[#This Row],[Customer Gender]]="F","Female",orders[[#This Row],[Customer Gender]]="o","Others",TRUE,"Unknown")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 "Male",orders[[#This Row],[Customer Gender]]="F","Female",orders[[#This Row],[Customer Gender]]="o","Others",TRUE,"Unknown")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 "Male",orders[[#This Row],[Customer Gender]]="F","Female",orders[[#This Row],[Customer Gender]]="o","Others",TRUE,"Unknown")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 "Male",orders[[#This Row],[Customer Gender]]="F","Female",orders[[#This Row],[Customer Gender]]="o","Others",TRUE,"Unknown")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 "Male",orders[[#This Row],[Customer Gender]]="F","Female",orders[[#This Row],[Customer Gender]]="o","Others",TRUE,"Unknown")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 "Male",orders[[#This Row],[Customer Gender]]="F","Female",orders[[#This Row],[Customer Gender]]="o","Others",TRUE,"Unknown")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 "Male",orders[[#This Row],[Customer Gender]]="F","Female",orders[[#This Row],[Customer Gender]]="o","Others",TRUE,"Unknown")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 "Male",orders[[#This Row],[Customer Gender]]="F","Female",orders[[#This Row],[Customer Gender]]="o","Others",TRUE,"Unknown")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 "Male",orders[[#This Row],[Customer Gender]]="F","Female",orders[[#This Row],[Customer Gender]]="o","Others",TRUE,"Unknown")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 "Male",orders[[#This Row],[Customer Gender]]="F","Female",orders[[#This Row],[Customer Gender]]="o","Others",TRUE,"Unknown")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 "Male",orders[[#This Row],[Customer Gender]]="F","Female",orders[[#This Row],[Customer Gender]]="o","Others",TRUE,"Unknown")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 "Male",orders[[#This Row],[Customer Gender]]="F","Female",orders[[#This Row],[Customer Gender]]="o","Others",TRUE,"Unknown")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 "Male",orders[[#This Row],[Customer Gender]]="F","Female",orders[[#This Row],[Customer Gender]]="o","Others",TRUE,"Unknown")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 "Male",orders[[#This Row],[Customer Gender]]="F","Female",orders[[#This Row],[Customer Gender]]="o","Others",TRUE,"Unknown")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 "Male",orders[[#This Row],[Customer Gender]]="F","Female",orders[[#This Row],[Customer Gender]]="o","Others",TRUE,"Unknown")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 "Male",orders[[#This Row],[Customer Gender]]="F","Female",orders[[#This Row],[Customer Gender]]="o","Others",TRUE,"Unknown")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 "Male",orders[[#This Row],[Customer Gender]]="F","Female",orders[[#This Row],[Customer Gender]]="o","Others",TRUE,"Unknown")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 "Male",orders[[#This Row],[Customer Gender]]="F","Female",orders[[#This Row],[Customer Gender]]="o","Others",TRUE,"Unknown")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 "Male",orders[[#This Row],[Customer Gender]]="F","Female",orders[[#This Row],[Customer Gender]]="o","Others",TRUE,"Unknown")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 "Male",orders[[#This Row],[Customer Gender]]="F","Female",orders[[#This Row],[Customer Gender]]="o","Others",TRUE,"Unknown")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 "Male",orders[[#This Row],[Customer Gender]]="F","Female",orders[[#This Row],[Customer Gender]]="o","Others",TRUE,"Unknown")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 "Male",orders[[#This Row],[Customer Gender]]="F","Female",orders[[#This Row],[Customer Gender]]="o","Others",TRUE,"Unknown")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 "Male",orders[[#This Row],[Customer Gender]]="F","Female",orders[[#This Row],[Customer Gender]]="o","Others",TRUE,"Unknown")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 "Male",orders[[#This Row],[Customer Gender]]="F","Female",orders[[#This Row],[Customer Gender]]="o","Others",TRUE,"Unknown")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 "Male",orders[[#This Row],[Customer Gender]]="F","Female",orders[[#This Row],[Customer Gender]]="o","Others",TRUE,"Unknown")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 "Male",orders[[#This Row],[Customer Gender]]="F","Female",orders[[#This Row],[Customer Gender]]="o","Others",TRUE,"Unknown")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 "Male",orders[[#This Row],[Customer Gender]]="F","Female",orders[[#This Row],[Customer Gender]]="o","Others",TRUE,"Unknown")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 "Male",orders[[#This Row],[Customer Gender]]="F","Female",orders[[#This Row],[Customer Gender]]="o","Others",TRUE,"Unknown")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 "Male",orders[[#This Row],[Customer Gender]]="F","Female",orders[[#This Row],[Customer Gender]]="o","Others",TRUE,"Unknown")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 "Male",orders[[#This Row],[Customer Gender]]="F","Female",orders[[#This Row],[Customer Gender]]="o","Others",TRUE,"Unknown")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 "Male",orders[[#This Row],[Customer Gender]]="F","Female",orders[[#This Row],[Customer Gender]]="o","Others",TRUE,"Unknown")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 "Male",orders[[#This Row],[Customer Gender]]="F","Female",orders[[#This Row],[Customer Gender]]="o","Others",TRUE,"Unknown")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 "Male",orders[[#This Row],[Customer Gender]]="F","Female",orders[[#This Row],[Customer Gender]]="o","Others",TRUE,"Unknown")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 "Male",orders[[#This Row],[Customer Gender]]="F","Female",orders[[#This Row],[Customer Gender]]="o","Others",TRUE,"Unknown")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 "Male",orders[[#This Row],[Customer Gender]]="F","Female",orders[[#This Row],[Customer Gender]]="o","Others",TRUE,"Unknown")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 "Male",orders[[#This Row],[Customer Gender]]="F","Female",orders[[#This Row],[Customer Gender]]="o","Others",TRUE,"Unknown")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 "Male",orders[[#This Row],[Customer Gender]]="F","Female",orders[[#This Row],[Customer Gender]]="o","Others",TRUE,"Unknown")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 "Male",orders[[#This Row],[Customer Gender]]="F","Female",orders[[#This Row],[Customer Gender]]="o","Others",TRUE,"Unknown")</f>
        <v>Others</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 "Male",orders[[#This Row],[Customer Gender]]="F","Female",orders[[#This Row],[Customer Gender]]="o","Others",TRUE,"Unknown")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 "Male",orders[[#This Row],[Customer Gender]]="F","Female",orders[[#This Row],[Customer Gender]]="o","Others",TRUE,"Unknown")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 "Male",orders[[#This Row],[Customer Gender]]="F","Female",orders[[#This Row],[Customer Gender]]="o","Others",TRUE,"Unknown")</f>
        <v>Others</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 "Male",orders[[#This Row],[Customer Gender]]="F","Female",orders[[#This Row],[Customer Gender]]="o","Others",TRUE,"Unknown")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 "Male",orders[[#This Row],[Customer Gender]]="F","Female",orders[[#This Row],[Customer Gender]]="o","Others",TRUE,"Unknown")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 "Male",orders[[#This Row],[Customer Gender]]="F","Female",orders[[#This Row],[Customer Gender]]="o","Others",TRUE,"Unknown")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 "Male",orders[[#This Row],[Customer Gender]]="F","Female",orders[[#This Row],[Customer Gender]]="o","Others",TRUE,"Unknown")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 "Male",orders[[#This Row],[Customer Gender]]="F","Female",orders[[#This Row],[Customer Gender]]="o","Others",TRUE,"Unknown")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 "Male",orders[[#This Row],[Customer Gender]]="F","Female",orders[[#This Row],[Customer Gender]]="o","Others",TRUE,"Unknown")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 "Male",orders[[#This Row],[Customer Gender]]="F","Female",orders[[#This Row],[Customer Gender]]="o","Others",TRUE,"Unknown")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 "Male",orders[[#This Row],[Customer Gender]]="F","Female",orders[[#This Row],[Customer Gender]]="o","Others",TRUE,"Unknown")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 "Male",orders[[#This Row],[Customer Gender]]="F","Female",orders[[#This Row],[Customer Gender]]="o","Others",TRUE,"Unknown")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 "Male",orders[[#This Row],[Customer Gender]]="F","Female",orders[[#This Row],[Customer Gender]]="o","Others",TRUE,"Unknown")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 "Male",orders[[#This Row],[Customer Gender]]="F","Female",orders[[#This Row],[Customer Gender]]="o","Others",TRUE,"Unknown")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 "Male",orders[[#This Row],[Customer Gender]]="F","Female",orders[[#This Row],[Customer Gender]]="o","Others",TRUE,"Unknown")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 "Male",orders[[#This Row],[Customer Gender]]="F","Female",orders[[#This Row],[Customer Gender]]="o","Others",TRUE,"Unknown")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 "Male",orders[[#This Row],[Customer Gender]]="F","Female",orders[[#This Row],[Customer Gender]]="o","Others",TRUE,"Unknown")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 "Male",orders[[#This Row],[Customer Gender]]="F","Female",orders[[#This Row],[Customer Gender]]="o","Others",TRUE,"Unknown")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 "Male",orders[[#This Row],[Customer Gender]]="F","Female",orders[[#This Row],[Customer Gender]]="o","Others",TRUE,"Unknown")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 "Male",orders[[#This Row],[Customer Gender]]="F","Female",orders[[#This Row],[Customer Gender]]="o","Others",TRUE,"Unknown")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 "Male",orders[[#This Row],[Customer Gender]]="F","Female",orders[[#This Row],[Customer Gender]]="o","Others",TRUE,"Unknown")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 "Male",orders[[#This Row],[Customer Gender]]="F","Female",orders[[#This Row],[Customer Gender]]="o","Others",TRUE,"Unknown")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 "Male",orders[[#This Row],[Customer Gender]]="F","Female",orders[[#This Row],[Customer Gender]]="o","Others",TRUE,"Unknown")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 "Male",orders[[#This Row],[Customer Gender]]="F","Female",orders[[#This Row],[Customer Gender]]="o","Others",TRUE,"Unknown")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 "Male",orders[[#This Row],[Customer Gender]]="F","Female",orders[[#This Row],[Customer Gender]]="o","Others",TRUE,"Unknown")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 "Male",orders[[#This Row],[Customer Gender]]="F","Female",orders[[#This Row],[Customer Gender]]="o","Others",TRUE,"Unknown")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 "Male",orders[[#This Row],[Customer Gender]]="F","Female",orders[[#This Row],[Customer Gender]]="o","Others",TRUE,"Unknown")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 "Male",orders[[#This Row],[Customer Gender]]="F","Female",orders[[#This Row],[Customer Gender]]="o","Others",TRUE,"Unknown")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 "Male",orders[[#This Row],[Customer Gender]]="F","Female",orders[[#This Row],[Customer Gender]]="o","Others",TRUE,"Unknown")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 "Male",orders[[#This Row],[Customer Gender]]="F","Female",orders[[#This Row],[Customer Gender]]="o","Others",TRUE,"Unknown")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 "Male",orders[[#This Row],[Customer Gender]]="F","Female",orders[[#This Row],[Customer Gender]]="o","Others",TRUE,"Unknown")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 "Male",orders[[#This Row],[Customer Gender]]="F","Female",orders[[#This Row],[Customer Gender]]="o","Others",TRUE,"Unknown")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 "Male",orders[[#This Row],[Customer Gender]]="F","Female",orders[[#This Row],[Customer Gender]]="o","Others",TRUE,"Unknown")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 "Male",orders[[#This Row],[Customer Gender]]="F","Female",orders[[#This Row],[Customer Gender]]="o","Others",TRUE,"Unknown")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 "Male",orders[[#This Row],[Customer Gender]]="F","Female",orders[[#This Row],[Customer Gender]]="o","Others",TRUE,"Unknown")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 "Male",orders[[#This Row],[Customer Gender]]="F","Female",orders[[#This Row],[Customer Gender]]="o","Others",TRUE,"Unknown")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 "Male",orders[[#This Row],[Customer Gender]]="F","Female",orders[[#This Row],[Customer Gender]]="o","Others",TRUE,"Unknown")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 "Male",orders[[#This Row],[Customer Gender]]="F","Female",orders[[#This Row],[Customer Gender]]="o","Others",TRUE,"Unknown")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 "Male",orders[[#This Row],[Customer Gender]]="F","Female",orders[[#This Row],[Customer Gender]]="o","Others",TRUE,"Unknown")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 "Male",orders[[#This Row],[Customer Gender]]="F","Female",orders[[#This Row],[Customer Gender]]="o","Others",TRUE,"Unknown")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 "Male",orders[[#This Row],[Customer Gender]]="F","Female",orders[[#This Row],[Customer Gender]]="o","Others",TRUE,"Unknown")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 "Male",orders[[#This Row],[Customer Gender]]="F","Female",orders[[#This Row],[Customer Gender]]="o","Others",TRUE,"Unknown")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 "Male",orders[[#This Row],[Customer Gender]]="F","Female",orders[[#This Row],[Customer Gender]]="o","Others",TRUE,"Unknown")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 "Male",orders[[#This Row],[Customer Gender]]="F","Female",orders[[#This Row],[Customer Gender]]="o","Others",TRUE,"Unknown")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 "Male",orders[[#This Row],[Customer Gender]]="F","Female",orders[[#This Row],[Customer Gender]]="o","Others",TRUE,"Unknown")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 "Male",orders[[#This Row],[Customer Gender]]="F","Female",orders[[#This Row],[Customer Gender]]="o","Others",TRUE,"Unknown")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 "Male",orders[[#This Row],[Customer Gender]]="F","Female",orders[[#This Row],[Customer Gender]]="o","Others",TRUE,"Unknown")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 "Male",orders[[#This Row],[Customer Gender]]="F","Female",orders[[#This Row],[Customer Gender]]="o","Others",TRUE,"Unknown")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 "Male",orders[[#This Row],[Customer Gender]]="F","Female",orders[[#This Row],[Customer Gender]]="o","Others",TRUE,"Unknown")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 "Male",orders[[#This Row],[Customer Gender]]="F","Female",orders[[#This Row],[Customer Gender]]="o","Others",TRUE,"Unknown")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 "Male",orders[[#This Row],[Customer Gender]]="F","Female",orders[[#This Row],[Customer Gender]]="o","Others",TRUE,"Unknown")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 "Male",orders[[#This Row],[Customer Gender]]="F","Female",orders[[#This Row],[Customer Gender]]="o","Others",TRUE,"Unknown")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 "Male",orders[[#This Row],[Customer Gender]]="F","Female",orders[[#This Row],[Customer Gender]]="o","Others",TRUE,"Unknown")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 "Male",orders[[#This Row],[Customer Gender]]="F","Female",orders[[#This Row],[Customer Gender]]="o","Others",TRUE,"Unknown")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 "Male",orders[[#This Row],[Customer Gender]]="F","Female",orders[[#This Row],[Customer Gender]]="o","Others",TRUE,"Unknown")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 "Male",orders[[#This Row],[Customer Gender]]="F","Female",orders[[#This Row],[Customer Gender]]="o","Others",TRUE,"Unknown")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 "Male",orders[[#This Row],[Customer Gender]]="F","Female",orders[[#This Row],[Customer Gender]]="o","Others",TRUE,"Unknown")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 "Male",orders[[#This Row],[Customer Gender]]="F","Female",orders[[#This Row],[Customer Gender]]="o","Others",TRUE,"Unknown")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 "Male",orders[[#This Row],[Customer Gender]]="F","Female",orders[[#This Row],[Customer Gender]]="o","Others",TRUE,"Unknown")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 "Male",orders[[#This Row],[Customer Gender]]="F","Female",orders[[#This Row],[Customer Gender]]="o","Others",TRUE,"Unknown")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 "Male",orders[[#This Row],[Customer Gender]]="F","Female",orders[[#This Row],[Customer Gender]]="o","Others",TRUE,"Unknown")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 "Male",orders[[#This Row],[Customer Gender]]="F","Female",orders[[#This Row],[Customer Gender]]="o","Others",TRUE,"Unknown")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 "Male",orders[[#This Row],[Customer Gender]]="F","Female",orders[[#This Row],[Customer Gender]]="o","Others",TRUE,"Unknown")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 "Male",orders[[#This Row],[Customer Gender]]="F","Female",orders[[#This Row],[Customer Gender]]="o","Others",TRUE,"Unknown")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 "Male",orders[[#This Row],[Customer Gender]]="F","Female",orders[[#This Row],[Customer Gender]]="o","Others",TRUE,"Unknown")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 "Male",orders[[#This Row],[Customer Gender]]="F","Female",orders[[#This Row],[Customer Gender]]="o","Others",TRUE,"Unknown")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 "Male",orders[[#This Row],[Customer Gender]]="F","Female",orders[[#This Row],[Customer Gender]]="o","Others",TRUE,"Unknown")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 "Male",orders[[#This Row],[Customer Gender]]="F","Female",orders[[#This Row],[Customer Gender]]="o","Others",TRUE,"Unknown")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 "Male",orders[[#This Row],[Customer Gender]]="F","Female",orders[[#This Row],[Customer Gender]]="o","Others",TRUE,"Unknown")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 "Male",orders[[#This Row],[Customer Gender]]="F","Female",orders[[#This Row],[Customer Gender]]="o","Others",TRUE,"Unknown")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 "Male",orders[[#This Row],[Customer Gender]]="F","Female",orders[[#This Row],[Customer Gender]]="o","Others",TRUE,"Unknown")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 "Male",orders[[#This Row],[Customer Gender]]="F","Female",orders[[#This Row],[Customer Gender]]="o","Others",TRUE,"Unknown")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 "Male",orders[[#This Row],[Customer Gender]]="F","Female",orders[[#This Row],[Customer Gender]]="o","Others",TRUE,"Unknown")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 "Male",orders[[#This Row],[Customer Gender]]="F","Female",orders[[#This Row],[Customer Gender]]="o","Others",TRUE,"Unknown")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 "Male",orders[[#This Row],[Customer Gender]]="F","Female",orders[[#This Row],[Customer Gender]]="o","Others",TRUE,"Unknown")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 "Male",orders[[#This Row],[Customer Gender]]="F","Female",orders[[#This Row],[Customer Gender]]="o","Others",TRUE,"Unknown")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 "Male",orders[[#This Row],[Customer Gender]]="F","Female",orders[[#This Row],[Customer Gender]]="o","Others",TRUE,"Unknown")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 "Male",orders[[#This Row],[Customer Gender]]="F","Female",orders[[#This Row],[Customer Gender]]="o","Others",TRUE,"Unknown")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 "Male",orders[[#This Row],[Customer Gender]]="F","Female",orders[[#This Row],[Customer Gender]]="o","Others",TRUE,"Unknown")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 "Male",orders[[#This Row],[Customer Gender]]="F","Female",orders[[#This Row],[Customer Gender]]="o","Others",TRUE,"Unknown")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 "Male",orders[[#This Row],[Customer Gender]]="F","Female",orders[[#This Row],[Customer Gender]]="o","Others",TRUE,"Unknown")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 "Male",orders[[#This Row],[Customer Gender]]="F","Female",orders[[#This Row],[Customer Gender]]="o","Others",TRUE,"Unknown")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 "Male",orders[[#This Row],[Customer Gender]]="F","Female",orders[[#This Row],[Customer Gender]]="o","Others",TRUE,"Unknown")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 "Male",orders[[#This Row],[Customer Gender]]="F","Female",orders[[#This Row],[Customer Gender]]="o","Others",TRUE,"Unknown")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 "Male",orders[[#This Row],[Customer Gender]]="F","Female",orders[[#This Row],[Customer Gender]]="o","Others",TRUE,"Unknown")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 "Male",orders[[#This Row],[Customer Gender]]="F","Female",orders[[#This Row],[Customer Gender]]="o","Others",TRUE,"Unknown")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 "Male",orders[[#This Row],[Customer Gender]]="F","Female",orders[[#This Row],[Customer Gender]]="o","Others",TRUE,"Unknown")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 "Male",orders[[#This Row],[Customer Gender]]="F","Female",orders[[#This Row],[Customer Gender]]="o","Others",TRUE,"Unknown")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 "Male",orders[[#This Row],[Customer Gender]]="F","Female",orders[[#This Row],[Customer Gender]]="o","Others",TRUE,"Unknown")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 "Male",orders[[#This Row],[Customer Gender]]="F","Female",orders[[#This Row],[Customer Gender]]="o","Others",TRUE,"Unknown")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 "Male",orders[[#This Row],[Customer Gender]]="F","Female",orders[[#This Row],[Customer Gender]]="o","Others",TRUE,"Unknown")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 "Male",orders[[#This Row],[Customer Gender]]="F","Female",orders[[#This Row],[Customer Gender]]="o","Others",TRUE,"Unknown")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 "Male",orders[[#This Row],[Customer Gender]]="F","Female",orders[[#This Row],[Customer Gender]]="o","Others",TRUE,"Unknown")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 "Male",orders[[#This Row],[Customer Gender]]="F","Female",orders[[#This Row],[Customer Gender]]="o","Others",TRUE,"Unknown")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 "Male",orders[[#This Row],[Customer Gender]]="F","Female",orders[[#This Row],[Customer Gender]]="o","Others",TRUE,"Unknown")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 "Male",orders[[#This Row],[Customer Gender]]="F","Female",orders[[#This Row],[Customer Gender]]="o","Others",TRUE,"Unknown")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 "Male",orders[[#This Row],[Customer Gender]]="F","Female",orders[[#This Row],[Customer Gender]]="o","Others",TRUE,"Unknown")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 "Male",orders[[#This Row],[Customer Gender]]="F","Female",orders[[#This Row],[Customer Gender]]="o","Others",TRUE,"Unknown")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 "Male",orders[[#This Row],[Customer Gender]]="F","Female",orders[[#This Row],[Customer Gender]]="o","Others",TRUE,"Unknown")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 "Male",orders[[#This Row],[Customer Gender]]="F","Female",orders[[#This Row],[Customer Gender]]="o","Others",TRUE,"Unknown")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 "Male",orders[[#This Row],[Customer Gender]]="F","Female",orders[[#This Row],[Customer Gender]]="o","Others",TRUE,"Unknown")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 "Male",orders[[#This Row],[Customer Gender]]="F","Female",orders[[#This Row],[Customer Gender]]="o","Others",TRUE,"Unknown")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 "Male",orders[[#This Row],[Customer Gender]]="F","Female",orders[[#This Row],[Customer Gender]]="o","Others",TRUE,"Unknown")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 "Male",orders[[#This Row],[Customer Gender]]="F","Female",orders[[#This Row],[Customer Gender]]="o","Others",TRUE,"Unknown")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 "Male",orders[[#This Row],[Customer Gender]]="F","Female",orders[[#This Row],[Customer Gender]]="o","Others",TRUE,"Unknown")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 "Male",orders[[#This Row],[Customer Gender]]="F","Female",orders[[#This Row],[Customer Gender]]="o","Others",TRUE,"Unknown")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 "Male",orders[[#This Row],[Customer Gender]]="F","Female",orders[[#This Row],[Customer Gender]]="o","Others",TRUE,"Unknown")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 "Male",orders[[#This Row],[Customer Gender]]="F","Female",orders[[#This Row],[Customer Gender]]="o","Others",TRUE,"Unknown")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 "Male",orders[[#This Row],[Customer Gender]]="F","Female",orders[[#This Row],[Customer Gender]]="o","Others",TRUE,"Unknown")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 "Male",orders[[#This Row],[Customer Gender]]="F","Female",orders[[#This Row],[Customer Gender]]="o","Others",TRUE,"Unknown")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 "Male",orders[[#This Row],[Customer Gender]]="F","Female",orders[[#This Row],[Customer Gender]]="o","Others",TRUE,"Unknown")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 "Male",orders[[#This Row],[Customer Gender]]="F","Female",orders[[#This Row],[Customer Gender]]="o","Others",TRUE,"Unknown")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 "Male",orders[[#This Row],[Customer Gender]]="F","Female",orders[[#This Row],[Customer Gender]]="o","Others",TRUE,"Unknown")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 "Male",orders[[#This Row],[Customer Gender]]="F","Female",orders[[#This Row],[Customer Gender]]="o","Others",TRUE,"Unknown")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 "Male",orders[[#This Row],[Customer Gender]]="F","Female",orders[[#This Row],[Customer Gender]]="o","Others",TRUE,"Unknown")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 "Male",orders[[#This Row],[Customer Gender]]="F","Female",orders[[#This Row],[Customer Gender]]="o","Others",TRUE,"Unknown")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 "Male",orders[[#This Row],[Customer Gender]]="F","Female",orders[[#This Row],[Customer Gender]]="o","Others",TRUE,"Unknown")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 "Male",orders[[#This Row],[Customer Gender]]="F","Female",orders[[#This Row],[Customer Gender]]="o","Others",TRUE,"Unknown")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 "Male",orders[[#This Row],[Customer Gender]]="F","Female",orders[[#This Row],[Customer Gender]]="o","Others",TRUE,"Unknown")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 "Male",orders[[#This Row],[Customer Gender]]="F","Female",orders[[#This Row],[Customer Gender]]="o","Others",TRUE,"Unknown")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 "Male",orders[[#This Row],[Customer Gender]]="F","Female",orders[[#This Row],[Customer Gender]]="o","Others",TRUE,"Unknown")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 "Male",orders[[#This Row],[Customer Gender]]="F","Female",orders[[#This Row],[Customer Gender]]="o","Others",TRUE,"Unknown")</f>
        <v>Others</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 "Male",orders[[#This Row],[Customer Gender]]="F","Female",orders[[#This Row],[Customer Gender]]="o","Others",TRUE,"Unknown")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 "Male",orders[[#This Row],[Customer Gender]]="F","Female",orders[[#This Row],[Customer Gender]]="o","Others",TRUE,"Unknown")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 "Male",orders[[#This Row],[Customer Gender]]="F","Female",orders[[#This Row],[Customer Gender]]="o","Others",TRUE,"Unknown")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 "Male",orders[[#This Row],[Customer Gender]]="F","Female",orders[[#This Row],[Customer Gender]]="o","Others",TRUE,"Unknown")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 "Male",orders[[#This Row],[Customer Gender]]="F","Female",orders[[#This Row],[Customer Gender]]="o","Others",TRUE,"Unknown")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 "Male",orders[[#This Row],[Customer Gender]]="F","Female",orders[[#This Row],[Customer Gender]]="o","Others",TRUE,"Unknown")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 "Male",orders[[#This Row],[Customer Gender]]="F","Female",orders[[#This Row],[Customer Gender]]="o","Others",TRUE,"Unknown")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 "Male",orders[[#This Row],[Customer Gender]]="F","Female",orders[[#This Row],[Customer Gender]]="o","Others",TRUE,"Unknown")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 "Male",orders[[#This Row],[Customer Gender]]="F","Female",orders[[#This Row],[Customer Gender]]="o","Others",TRUE,"Unknown")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 "Male",orders[[#This Row],[Customer Gender]]="F","Female",orders[[#This Row],[Customer Gender]]="o","Others",TRUE,"Unknown")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 "Male",orders[[#This Row],[Customer Gender]]="F","Female",orders[[#This Row],[Customer Gender]]="o","Others",TRUE,"Unknown")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 "Male",orders[[#This Row],[Customer Gender]]="F","Female",orders[[#This Row],[Customer Gender]]="o","Others",TRUE,"Unknown")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 "Male",orders[[#This Row],[Customer Gender]]="F","Female",orders[[#This Row],[Customer Gender]]="o","Others",TRUE,"Unknown")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 "Male",orders[[#This Row],[Customer Gender]]="F","Female",orders[[#This Row],[Customer Gender]]="o","Others",TRUE,"Unknown")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 "Male",orders[[#This Row],[Customer Gender]]="F","Female",orders[[#This Row],[Customer Gender]]="o","Others",TRUE,"Unknown")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 "Male",orders[[#This Row],[Customer Gender]]="F","Female",orders[[#This Row],[Customer Gender]]="o","Others",TRUE,"Unknown")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 "Male",orders[[#This Row],[Customer Gender]]="F","Female",orders[[#This Row],[Customer Gender]]="o","Others",TRUE,"Unknown")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 "Male",orders[[#This Row],[Customer Gender]]="F","Female",orders[[#This Row],[Customer Gender]]="o","Others",TRUE,"Unknown")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 "Male",orders[[#This Row],[Customer Gender]]="F","Female",orders[[#This Row],[Customer Gender]]="o","Others",TRUE,"Unknown")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 "Male",orders[[#This Row],[Customer Gender]]="F","Female",orders[[#This Row],[Customer Gender]]="o","Others",TRUE,"Unknown")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 "Male",orders[[#This Row],[Customer Gender]]="F","Female",orders[[#This Row],[Customer Gender]]="o","Others",TRUE,"Unknown")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 "Male",orders[[#This Row],[Customer Gender]]="F","Female",orders[[#This Row],[Customer Gender]]="o","Others",TRUE,"Unknown")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 "Male",orders[[#This Row],[Customer Gender]]="F","Female",orders[[#This Row],[Customer Gender]]="o","Others",TRUE,"Unknown")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 "Male",orders[[#This Row],[Customer Gender]]="F","Female",orders[[#This Row],[Customer Gender]]="o","Others",TRUE,"Unknown")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 "Male",orders[[#This Row],[Customer Gender]]="F","Female",orders[[#This Row],[Customer Gender]]="o","Others",TRUE,"Unknown")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 "Male",orders[[#This Row],[Customer Gender]]="F","Female",orders[[#This Row],[Customer Gender]]="o","Others",TRUE,"Unknown")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 "Male",orders[[#This Row],[Customer Gender]]="F","Female",orders[[#This Row],[Customer Gender]]="o","Others",TRUE,"Unknown")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 "Male",orders[[#This Row],[Customer Gender]]="F","Female",orders[[#This Row],[Customer Gender]]="o","Others",TRUE,"Unknown")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 "Male",orders[[#This Row],[Customer Gender]]="F","Female",orders[[#This Row],[Customer Gender]]="o","Others",TRUE,"Unknown")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 "Male",orders[[#This Row],[Customer Gender]]="F","Female",orders[[#This Row],[Customer Gender]]="o","Others",TRUE,"Unknown")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 "Male",orders[[#This Row],[Customer Gender]]="F","Female",orders[[#This Row],[Customer Gender]]="o","Others",TRUE,"Unknown")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 "Male",orders[[#This Row],[Customer Gender]]="F","Female",orders[[#This Row],[Customer Gender]]="o","Others",TRUE,"Unknown")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 "Male",orders[[#This Row],[Customer Gender]]="F","Female",orders[[#This Row],[Customer Gender]]="o","Others",TRUE,"Unknown")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 "Male",orders[[#This Row],[Customer Gender]]="F","Female",orders[[#This Row],[Customer Gender]]="o","Others",TRUE,"Unknown")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 "Male",orders[[#This Row],[Customer Gender]]="F","Female",orders[[#This Row],[Customer Gender]]="o","Others",TRUE,"Unknown")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 "Male",orders[[#This Row],[Customer Gender]]="F","Female",orders[[#This Row],[Customer Gender]]="o","Others",TRUE,"Unknown")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 "Male",orders[[#This Row],[Customer Gender]]="F","Female",orders[[#This Row],[Customer Gender]]="o","Others",TRUE,"Unknown")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 "Male",orders[[#This Row],[Customer Gender]]="F","Female",orders[[#This Row],[Customer Gender]]="o","Others",TRUE,"Unknown")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 "Male",orders[[#This Row],[Customer Gender]]="F","Female",orders[[#This Row],[Customer Gender]]="o","Others",TRUE,"Unknown")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 "Male",orders[[#This Row],[Customer Gender]]="F","Female",orders[[#This Row],[Customer Gender]]="o","Others",TRUE,"Unknown")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 "Male",orders[[#This Row],[Customer Gender]]="F","Female",orders[[#This Row],[Customer Gender]]="o","Others",TRUE,"Unknown")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 "Male",orders[[#This Row],[Customer Gender]]="F","Female",orders[[#This Row],[Customer Gender]]="o","Others",TRUE,"Unknown")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 "Male",orders[[#This Row],[Customer Gender]]="F","Female",orders[[#This Row],[Customer Gender]]="o","Others",TRUE,"Unknown")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 "Male",orders[[#This Row],[Customer Gender]]="F","Female",orders[[#This Row],[Customer Gender]]="o","Others",TRUE,"Unknown")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 "Male",orders[[#This Row],[Customer Gender]]="F","Female",orders[[#This Row],[Customer Gender]]="o","Others",TRUE,"Unknown")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 "Male",orders[[#This Row],[Customer Gender]]="F","Female",orders[[#This Row],[Customer Gender]]="o","Others",TRUE,"Unknown")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 "Male",orders[[#This Row],[Customer Gender]]="F","Female",orders[[#This Row],[Customer Gender]]="o","Others",TRUE,"Unknown")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 "Male",orders[[#This Row],[Customer Gender]]="F","Female",orders[[#This Row],[Customer Gender]]="o","Others",TRUE,"Unknown")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 "Male",orders[[#This Row],[Customer Gender]]="F","Female",orders[[#This Row],[Customer Gender]]="o","Others",TRUE,"Unknown")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 "Male",orders[[#This Row],[Customer Gender]]="F","Female",orders[[#This Row],[Customer Gender]]="o","Others",TRUE,"Unknown")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 "Male",orders[[#This Row],[Customer Gender]]="F","Female",orders[[#This Row],[Customer Gender]]="o","Others",TRUE,"Unknown")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 "Male",orders[[#This Row],[Customer Gender]]="F","Female",orders[[#This Row],[Customer Gender]]="o","Others",TRUE,"Unknown")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 "Male",orders[[#This Row],[Customer Gender]]="F","Female",orders[[#This Row],[Customer Gender]]="o","Others",TRUE,"Unknown")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 "Male",orders[[#This Row],[Customer Gender]]="F","Female",orders[[#This Row],[Customer Gender]]="o","Others",TRUE,"Unknown")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 "Male",orders[[#This Row],[Customer Gender]]="F","Female",orders[[#This Row],[Customer Gender]]="o","Others",TRUE,"Unknown")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 "Male",orders[[#This Row],[Customer Gender]]="F","Female",orders[[#This Row],[Customer Gender]]="o","Others",TRUE,"Unknown")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 "Male",orders[[#This Row],[Customer Gender]]="F","Female",orders[[#This Row],[Customer Gender]]="o","Others",TRUE,"Unknown")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 "Male",orders[[#This Row],[Customer Gender]]="F","Female",orders[[#This Row],[Customer Gender]]="o","Others",TRUE,"Unknown")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 "Male",orders[[#This Row],[Customer Gender]]="F","Female",orders[[#This Row],[Customer Gender]]="o","Others",TRUE,"Unknown")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 "Male",orders[[#This Row],[Customer Gender]]="F","Female",orders[[#This Row],[Customer Gender]]="o","Others",TRUE,"Unknown")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 "Male",orders[[#This Row],[Customer Gender]]="F","Female",orders[[#This Row],[Customer Gender]]="o","Others",TRUE,"Unknown")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 "Male",orders[[#This Row],[Customer Gender]]="F","Female",orders[[#This Row],[Customer Gender]]="o","Others",TRUE,"Unknown")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 "Male",orders[[#This Row],[Customer Gender]]="F","Female",orders[[#This Row],[Customer Gender]]="o","Others",TRUE,"Unknown")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 "Male",orders[[#This Row],[Customer Gender]]="F","Female",orders[[#This Row],[Customer Gender]]="o","Others",TRUE,"Unknown")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 "Male",orders[[#This Row],[Customer Gender]]="F","Female",orders[[#This Row],[Customer Gender]]="o","Others",TRUE,"Unknown")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 "Male",orders[[#This Row],[Customer Gender]]="F","Female",orders[[#This Row],[Customer Gender]]="o","Others",TRUE,"Unknown")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 "Male",orders[[#This Row],[Customer Gender]]="F","Female",orders[[#This Row],[Customer Gender]]="o","Others",TRUE,"Unknown")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 "Male",orders[[#This Row],[Customer Gender]]="F","Female",orders[[#This Row],[Customer Gender]]="o","Others",TRUE,"Unknown")</f>
        <v>Others</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 "Male",orders[[#This Row],[Customer Gender]]="F","Female",orders[[#This Row],[Customer Gender]]="o","Others",TRUE,"Unknown")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 "Male",orders[[#This Row],[Customer Gender]]="F","Female",orders[[#This Row],[Customer Gender]]="o","Others",TRUE,"Unknown")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 "Male",orders[[#This Row],[Customer Gender]]="F","Female",orders[[#This Row],[Customer Gender]]="o","Others",TRUE,"Unknown")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 "Male",orders[[#This Row],[Customer Gender]]="F","Female",orders[[#This Row],[Customer Gender]]="o","Others",TRUE,"Unknown")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 "Male",orders[[#This Row],[Customer Gender]]="F","Female",orders[[#This Row],[Customer Gender]]="o","Others",TRUE,"Unknown")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 "Male",orders[[#This Row],[Customer Gender]]="F","Female",orders[[#This Row],[Customer Gender]]="o","Others",TRUE,"Unknown")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 "Male",orders[[#This Row],[Customer Gender]]="F","Female",orders[[#This Row],[Customer Gender]]="o","Others",TRUE,"Unknown")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 "Male",orders[[#This Row],[Customer Gender]]="F","Female",orders[[#This Row],[Customer Gender]]="o","Others",TRUE,"Unknown")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 "Male",orders[[#This Row],[Customer Gender]]="F","Female",orders[[#This Row],[Customer Gender]]="o","Others",TRUE,"Unknown")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 "Male",orders[[#This Row],[Customer Gender]]="F","Female",orders[[#This Row],[Customer Gender]]="o","Others",TRUE,"Unknown")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 "Male",orders[[#This Row],[Customer Gender]]="F","Female",orders[[#This Row],[Customer Gender]]="o","Others",TRUE,"Unknown")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 "Male",orders[[#This Row],[Customer Gender]]="F","Female",orders[[#This Row],[Customer Gender]]="o","Others",TRUE,"Unknown")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 "Male",orders[[#This Row],[Customer Gender]]="F","Female",orders[[#This Row],[Customer Gender]]="o","Others",TRUE,"Unknown")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 "Male",orders[[#This Row],[Customer Gender]]="F","Female",orders[[#This Row],[Customer Gender]]="o","Others",TRUE,"Unknown")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 "Male",orders[[#This Row],[Customer Gender]]="F","Female",orders[[#This Row],[Customer Gender]]="o","Others",TRUE,"Unknown")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 "Male",orders[[#This Row],[Customer Gender]]="F","Female",orders[[#This Row],[Customer Gender]]="o","Others",TRUE,"Unknown")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 "Male",orders[[#This Row],[Customer Gender]]="F","Female",orders[[#This Row],[Customer Gender]]="o","Others",TRUE,"Unknown")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 "Male",orders[[#This Row],[Customer Gender]]="F","Female",orders[[#This Row],[Customer Gender]]="o","Others",TRUE,"Unknown")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 "Male",orders[[#This Row],[Customer Gender]]="F","Female",orders[[#This Row],[Customer Gender]]="o","Others",TRUE,"Unknown")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 "Male",orders[[#This Row],[Customer Gender]]="F","Female",orders[[#This Row],[Customer Gender]]="o","Others",TRUE,"Unknown")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 "Male",orders[[#This Row],[Customer Gender]]="F","Female",orders[[#This Row],[Customer Gender]]="o","Others",TRUE,"Unknown")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 "Male",orders[[#This Row],[Customer Gender]]="F","Female",orders[[#This Row],[Customer Gender]]="o","Others",TRUE,"Unknown")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 "Male",orders[[#This Row],[Customer Gender]]="F","Female",orders[[#This Row],[Customer Gender]]="o","Others",TRUE,"Unknown")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 "Male",orders[[#This Row],[Customer Gender]]="F","Female",orders[[#This Row],[Customer Gender]]="o","Others",TRUE,"Unknown")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 "Male",orders[[#This Row],[Customer Gender]]="F","Female",orders[[#This Row],[Customer Gender]]="o","Others",TRUE,"Unknown")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 "Male",orders[[#This Row],[Customer Gender]]="F","Female",orders[[#This Row],[Customer Gender]]="o","Others",TRUE,"Unknown")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 "Male",orders[[#This Row],[Customer Gender]]="F","Female",orders[[#This Row],[Customer Gender]]="o","Others",TRUE,"Unknown")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 "Male",orders[[#This Row],[Customer Gender]]="F","Female",orders[[#This Row],[Customer Gender]]="o","Others",TRUE,"Unknown")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 "Male",orders[[#This Row],[Customer Gender]]="F","Female",orders[[#This Row],[Customer Gender]]="o","Others",TRUE,"Unknown")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 "Male",orders[[#This Row],[Customer Gender]]="F","Female",orders[[#This Row],[Customer Gender]]="o","Others",TRUE,"Unknown")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 "Male",orders[[#This Row],[Customer Gender]]="F","Female",orders[[#This Row],[Customer Gender]]="o","Others",TRUE,"Unknown")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 "Male",orders[[#This Row],[Customer Gender]]="F","Female",orders[[#This Row],[Customer Gender]]="o","Others",TRUE,"Unknown")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 "Male",orders[[#This Row],[Customer Gender]]="F","Female",orders[[#This Row],[Customer Gender]]="o","Others",TRUE,"Unknown")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 "Male",orders[[#This Row],[Customer Gender]]="F","Female",orders[[#This Row],[Customer Gender]]="o","Others",TRUE,"Unknown")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 "Male",orders[[#This Row],[Customer Gender]]="F","Female",orders[[#This Row],[Customer Gender]]="o","Others",TRUE,"Unknown")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 "Male",orders[[#This Row],[Customer Gender]]="F","Female",orders[[#This Row],[Customer Gender]]="o","Others",TRUE,"Unknown")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 "Male",orders[[#This Row],[Customer Gender]]="F","Female",orders[[#This Row],[Customer Gender]]="o","Others",TRUE,"Unknown")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 "Male",orders[[#This Row],[Customer Gender]]="F","Female",orders[[#This Row],[Customer Gender]]="o","Others",TRUE,"Unknown")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 "Male",orders[[#This Row],[Customer Gender]]="F","Female",orders[[#This Row],[Customer Gender]]="o","Others",TRUE,"Unknown")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 "Male",orders[[#This Row],[Customer Gender]]="F","Female",orders[[#This Row],[Customer Gender]]="o","Others",TRUE,"Unknown")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 "Male",orders[[#This Row],[Customer Gender]]="F","Female",orders[[#This Row],[Customer Gender]]="o","Others",TRUE,"Unknown")</f>
        <v>Others</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 "Male",orders[[#This Row],[Customer Gender]]="F","Female",orders[[#This Row],[Customer Gender]]="o","Others",TRUE,"Unknown")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 "Male",orders[[#This Row],[Customer Gender]]="F","Female",orders[[#This Row],[Customer Gender]]="o","Others",TRUE,"Unknown")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 "Male",orders[[#This Row],[Customer Gender]]="F","Female",orders[[#This Row],[Customer Gender]]="o","Others",TRUE,"Unknown")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 "Male",orders[[#This Row],[Customer Gender]]="F","Female",orders[[#This Row],[Customer Gender]]="o","Others",TRUE,"Unknown")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 "Male",orders[[#This Row],[Customer Gender]]="F","Female",orders[[#This Row],[Customer Gender]]="o","Others",TRUE,"Unknown")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 "Male",orders[[#This Row],[Customer Gender]]="F","Female",orders[[#This Row],[Customer Gender]]="o","Others",TRUE,"Unknown")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 "Male",orders[[#This Row],[Customer Gender]]="F","Female",orders[[#This Row],[Customer Gender]]="o","Others",TRUE,"Unknown")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 "Male",orders[[#This Row],[Customer Gender]]="F","Female",orders[[#This Row],[Customer Gender]]="o","Others",TRUE,"Unknown")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 "Male",orders[[#This Row],[Customer Gender]]="F","Female",orders[[#This Row],[Customer Gender]]="o","Others",TRUE,"Unknown")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 "Male",orders[[#This Row],[Customer Gender]]="F","Female",orders[[#This Row],[Customer Gender]]="o","Others",TRUE,"Unknown")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 "Male",orders[[#This Row],[Customer Gender]]="F","Female",orders[[#This Row],[Customer Gender]]="o","Others",TRUE,"Unknown")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 "Male",orders[[#This Row],[Customer Gender]]="F","Female",orders[[#This Row],[Customer Gender]]="o","Others",TRUE,"Unknown")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 "Male",orders[[#This Row],[Customer Gender]]="F","Female",orders[[#This Row],[Customer Gender]]="o","Others",TRUE,"Unknown")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 "Male",orders[[#This Row],[Customer Gender]]="F","Female",orders[[#This Row],[Customer Gender]]="o","Others",TRUE,"Unknown")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 "Male",orders[[#This Row],[Customer Gender]]="F","Female",orders[[#This Row],[Customer Gender]]="o","Others",TRUE,"Unknown")</f>
        <v>Others</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 "Male",orders[[#This Row],[Customer Gender]]="F","Female",orders[[#This Row],[Customer Gender]]="o","Others",TRUE,"Unknown")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 "Male",orders[[#This Row],[Customer Gender]]="F","Female",orders[[#This Row],[Customer Gender]]="o","Others",TRUE,"Unknown")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 "Male",orders[[#This Row],[Customer Gender]]="F","Female",orders[[#This Row],[Customer Gender]]="o","Others",TRUE,"Unknown")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 "Male",orders[[#This Row],[Customer Gender]]="F","Female",orders[[#This Row],[Customer Gender]]="o","Others",TRUE,"Unknown")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 "Male",orders[[#This Row],[Customer Gender]]="F","Female",orders[[#This Row],[Customer Gender]]="o","Others",TRUE,"Unknown")</f>
        <v>Others</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 "Male",orders[[#This Row],[Customer Gender]]="F","Female",orders[[#This Row],[Customer Gender]]="o","Others",TRUE,"Unknown")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 "Male",orders[[#This Row],[Customer Gender]]="F","Female",orders[[#This Row],[Customer Gender]]="o","Others",TRUE,"Unknown")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 "Male",orders[[#This Row],[Customer Gender]]="F","Female",orders[[#This Row],[Customer Gender]]="o","Others",TRUE,"Unknown")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 "Male",orders[[#This Row],[Customer Gender]]="F","Female",orders[[#This Row],[Customer Gender]]="o","Others",TRUE,"Unknown")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 "Male",orders[[#This Row],[Customer Gender]]="F","Female",orders[[#This Row],[Customer Gender]]="o","Others",TRUE,"Unknown")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 "Male",orders[[#This Row],[Customer Gender]]="F","Female",orders[[#This Row],[Customer Gender]]="o","Others",TRUE,"Unknown")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 "Male",orders[[#This Row],[Customer Gender]]="F","Female",orders[[#This Row],[Customer Gender]]="o","Others",TRUE,"Unknown")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 "Male",orders[[#This Row],[Customer Gender]]="F","Female",orders[[#This Row],[Customer Gender]]="o","Others",TRUE,"Unknown")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 "Male",orders[[#This Row],[Customer Gender]]="F","Female",orders[[#This Row],[Customer Gender]]="o","Others",TRUE,"Unknown")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 "Male",orders[[#This Row],[Customer Gender]]="F","Female",orders[[#This Row],[Customer Gender]]="o","Others",TRUE,"Unknown")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 "Male",orders[[#This Row],[Customer Gender]]="F","Female",orders[[#This Row],[Customer Gender]]="o","Others",TRUE,"Unknown")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 "Male",orders[[#This Row],[Customer Gender]]="F","Female",orders[[#This Row],[Customer Gender]]="o","Others",TRUE,"Unknown")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 "Male",orders[[#This Row],[Customer Gender]]="F","Female",orders[[#This Row],[Customer Gender]]="o","Others",TRUE,"Unknown")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 "Male",orders[[#This Row],[Customer Gender]]="F","Female",orders[[#This Row],[Customer Gender]]="o","Others",TRUE,"Unknown")</f>
        <v>Others</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 "Male",orders[[#This Row],[Customer Gender]]="F","Female",orders[[#This Row],[Customer Gender]]="o","Others",TRUE,"Unknown")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 "Male",orders[[#This Row],[Customer Gender]]="F","Female",orders[[#This Row],[Customer Gender]]="o","Others",TRUE,"Unknown")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 "Male",orders[[#This Row],[Customer Gender]]="F","Female",orders[[#This Row],[Customer Gender]]="o","Others",TRUE,"Unknown")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 "Male",orders[[#This Row],[Customer Gender]]="F","Female",orders[[#This Row],[Customer Gender]]="o","Others",TRUE,"Unknown")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 "Male",orders[[#This Row],[Customer Gender]]="F","Female",orders[[#This Row],[Customer Gender]]="o","Others",TRUE,"Unknown")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 "Male",orders[[#This Row],[Customer Gender]]="F","Female",orders[[#This Row],[Customer Gender]]="o","Others",TRUE,"Unknown")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 "Male",orders[[#This Row],[Customer Gender]]="F","Female",orders[[#This Row],[Customer Gender]]="o","Others",TRUE,"Unknown")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 "Male",orders[[#This Row],[Customer Gender]]="F","Female",orders[[#This Row],[Customer Gender]]="o","Others",TRUE,"Unknown")</f>
        <v>Others</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 "Male",orders[[#This Row],[Customer Gender]]="F","Female",orders[[#This Row],[Customer Gender]]="o","Others",TRUE,"Unknown")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 "Male",orders[[#This Row],[Customer Gender]]="F","Female",orders[[#This Row],[Customer Gender]]="o","Others",TRUE,"Unknown")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 "Male",orders[[#This Row],[Customer Gender]]="F","Female",orders[[#This Row],[Customer Gender]]="o","Others",TRUE,"Unknown")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 "Male",orders[[#This Row],[Customer Gender]]="F","Female",orders[[#This Row],[Customer Gender]]="o","Others",TRUE,"Unknown")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 "Male",orders[[#This Row],[Customer Gender]]="F","Female",orders[[#This Row],[Customer Gender]]="o","Others",TRUE,"Unknown")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 "Male",orders[[#This Row],[Customer Gender]]="F","Female",orders[[#This Row],[Customer Gender]]="o","Others",TRUE,"Unknown")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 "Male",orders[[#This Row],[Customer Gender]]="F","Female",orders[[#This Row],[Customer Gender]]="o","Others",TRUE,"Unknown")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 "Male",orders[[#This Row],[Customer Gender]]="F","Female",orders[[#This Row],[Customer Gender]]="o","Others",TRUE,"Unknown")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 "Male",orders[[#This Row],[Customer Gender]]="F","Female",orders[[#This Row],[Customer Gender]]="o","Others",TRUE,"Unknown")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 "Male",orders[[#This Row],[Customer Gender]]="F","Female",orders[[#This Row],[Customer Gender]]="o","Others",TRUE,"Unknown")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 "Male",orders[[#This Row],[Customer Gender]]="F","Female",orders[[#This Row],[Customer Gender]]="o","Others",TRUE,"Unknown")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 "Male",orders[[#This Row],[Customer Gender]]="F","Female",orders[[#This Row],[Customer Gender]]="o","Others",TRUE,"Unknown")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 "Male",orders[[#This Row],[Customer Gender]]="F","Female",orders[[#This Row],[Customer Gender]]="o","Others",TRUE,"Unknown")</f>
        <v>Others</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 "Male",orders[[#This Row],[Customer Gender]]="F","Female",orders[[#This Row],[Customer Gender]]="o","Others",TRUE,"Unknown")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 "Male",orders[[#This Row],[Customer Gender]]="F","Female",orders[[#This Row],[Customer Gender]]="o","Others",TRUE,"Unknown")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 "Male",orders[[#This Row],[Customer Gender]]="F","Female",orders[[#This Row],[Customer Gender]]="o","Others",TRUE,"Unknown")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 "Male",orders[[#This Row],[Customer Gender]]="F","Female",orders[[#This Row],[Customer Gender]]="o","Others",TRUE,"Unknown")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 "Male",orders[[#This Row],[Customer Gender]]="F","Female",orders[[#This Row],[Customer Gender]]="o","Others",TRUE,"Unknown")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 "Male",orders[[#This Row],[Customer Gender]]="F","Female",orders[[#This Row],[Customer Gender]]="o","Others",TRUE,"Unknown")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 "Male",orders[[#This Row],[Customer Gender]]="F","Female",orders[[#This Row],[Customer Gender]]="o","Others",TRUE,"Unknown")</f>
        <v>Others</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 "Male",orders[[#This Row],[Customer Gender]]="F","Female",orders[[#This Row],[Customer Gender]]="o","Others",TRUE,"Unknown")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 "Male",orders[[#This Row],[Customer Gender]]="F","Female",orders[[#This Row],[Customer Gender]]="o","Others",TRUE,"Unknown")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 "Male",orders[[#This Row],[Customer Gender]]="F","Female",orders[[#This Row],[Customer Gender]]="o","Others",TRUE,"Unknown")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 "Male",orders[[#This Row],[Customer Gender]]="F","Female",orders[[#This Row],[Customer Gender]]="o","Others",TRUE,"Unknown")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 "Male",orders[[#This Row],[Customer Gender]]="F","Female",orders[[#This Row],[Customer Gender]]="o","Others",TRUE,"Unknown")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 "Male",orders[[#This Row],[Customer Gender]]="F","Female",orders[[#This Row],[Customer Gender]]="o","Others",TRUE,"Unknown")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 "Male",orders[[#This Row],[Customer Gender]]="F","Female",orders[[#This Row],[Customer Gender]]="o","Others",TRUE,"Unknown")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 "Male",orders[[#This Row],[Customer Gender]]="F","Female",orders[[#This Row],[Customer Gender]]="o","Others",TRUE,"Unknown")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 "Male",orders[[#This Row],[Customer Gender]]="F","Female",orders[[#This Row],[Customer Gender]]="o","Others",TRUE,"Unknown")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 "Male",orders[[#This Row],[Customer Gender]]="F","Female",orders[[#This Row],[Customer Gender]]="o","Others",TRUE,"Unknown")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 "Male",orders[[#This Row],[Customer Gender]]="F","Female",orders[[#This Row],[Customer Gender]]="o","Others",TRUE,"Unknown")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 "Male",orders[[#This Row],[Customer Gender]]="F","Female",orders[[#This Row],[Customer Gender]]="o","Others",TRUE,"Unknown")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 "Male",orders[[#This Row],[Customer Gender]]="F","Female",orders[[#This Row],[Customer Gender]]="o","Others",TRUE,"Unknown")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 "Male",orders[[#This Row],[Customer Gender]]="F","Female",orders[[#This Row],[Customer Gender]]="o","Others",TRUE,"Unknown")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 "Male",orders[[#This Row],[Customer Gender]]="F","Female",orders[[#This Row],[Customer Gender]]="o","Others",TRUE,"Unknown")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 "Male",orders[[#This Row],[Customer Gender]]="F","Female",orders[[#This Row],[Customer Gender]]="o","Others",TRUE,"Unknown")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 "Male",orders[[#This Row],[Customer Gender]]="F","Female",orders[[#This Row],[Customer Gender]]="o","Others",TRUE,"Unknown")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 "Male",orders[[#This Row],[Customer Gender]]="F","Female",orders[[#This Row],[Customer Gender]]="o","Others",TRUE,"Unknown")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 "Male",orders[[#This Row],[Customer Gender]]="F","Female",orders[[#This Row],[Customer Gender]]="o","Others",TRUE,"Unknown")</f>
        <v>Others</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 "Male",orders[[#This Row],[Customer Gender]]="F","Female",orders[[#This Row],[Customer Gender]]="o","Others",TRUE,"Unknown")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 "Male",orders[[#This Row],[Customer Gender]]="F","Female",orders[[#This Row],[Customer Gender]]="o","Others",TRUE,"Unknown")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 "Male",orders[[#This Row],[Customer Gender]]="F","Female",orders[[#This Row],[Customer Gender]]="o","Others",TRUE,"Unknown")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 "Male",orders[[#This Row],[Customer Gender]]="F","Female",orders[[#This Row],[Customer Gender]]="o","Others",TRUE,"Unknown")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 "Male",orders[[#This Row],[Customer Gender]]="F","Female",orders[[#This Row],[Customer Gender]]="o","Others",TRUE,"Unknown")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 "Male",orders[[#This Row],[Customer Gender]]="F","Female",orders[[#This Row],[Customer Gender]]="o","Others",TRUE,"Unknown")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 "Male",orders[[#This Row],[Customer Gender]]="F","Female",orders[[#This Row],[Customer Gender]]="o","Others",TRUE,"Unknown")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 "Male",orders[[#This Row],[Customer Gender]]="F","Female",orders[[#This Row],[Customer Gender]]="o","Others",TRUE,"Unknown")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 "Male",orders[[#This Row],[Customer Gender]]="F","Female",orders[[#This Row],[Customer Gender]]="o","Others",TRUE,"Unknown")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 "Male",orders[[#This Row],[Customer Gender]]="F","Female",orders[[#This Row],[Customer Gender]]="o","Others",TRUE,"Unknown")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 "Male",orders[[#This Row],[Customer Gender]]="F","Female",orders[[#This Row],[Customer Gender]]="o","Others",TRUE,"Unknown")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 "Male",orders[[#This Row],[Customer Gender]]="F","Female",orders[[#This Row],[Customer Gender]]="o","Others",TRUE,"Unknown")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 "Male",orders[[#This Row],[Customer Gender]]="F","Female",orders[[#This Row],[Customer Gender]]="o","Others",TRUE,"Unknown")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 "Male",orders[[#This Row],[Customer Gender]]="F","Female",orders[[#This Row],[Customer Gender]]="o","Others",TRUE,"Unknown")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 "Male",orders[[#This Row],[Customer Gender]]="F","Female",orders[[#This Row],[Customer Gender]]="o","Others",TRUE,"Unknown")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 "Male",orders[[#This Row],[Customer Gender]]="F","Female",orders[[#This Row],[Customer Gender]]="o","Others",TRUE,"Unknown")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 "Male",orders[[#This Row],[Customer Gender]]="F","Female",orders[[#This Row],[Customer Gender]]="o","Others",TRUE,"Unknown")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 "Male",orders[[#This Row],[Customer Gender]]="F","Female",orders[[#This Row],[Customer Gender]]="o","Others",TRUE,"Unknown")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 "Male",orders[[#This Row],[Customer Gender]]="F","Female",orders[[#This Row],[Customer Gender]]="o","Others",TRUE,"Unknown")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 "Male",orders[[#This Row],[Customer Gender]]="F","Female",orders[[#This Row],[Customer Gender]]="o","Others",TRUE,"Unknown")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 "Male",orders[[#This Row],[Customer Gender]]="F","Female",orders[[#This Row],[Customer Gender]]="o","Others",TRUE,"Unknown")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 "Male",orders[[#This Row],[Customer Gender]]="F","Female",orders[[#This Row],[Customer Gender]]="o","Others",TRUE,"Unknown")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 "Male",orders[[#This Row],[Customer Gender]]="F","Female",orders[[#This Row],[Customer Gender]]="o","Others",TRUE,"Unknown")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 "Male",orders[[#This Row],[Customer Gender]]="F","Female",orders[[#This Row],[Customer Gender]]="o","Others",TRUE,"Unknown")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 "Male",orders[[#This Row],[Customer Gender]]="F","Female",orders[[#This Row],[Customer Gender]]="o","Others",TRUE,"Unknown")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 "Male",orders[[#This Row],[Customer Gender]]="F","Female",orders[[#This Row],[Customer Gender]]="o","Others",TRUE,"Unknown")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 "Male",orders[[#This Row],[Customer Gender]]="F","Female",orders[[#This Row],[Customer Gender]]="o","Others",TRUE,"Unknown")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 "Male",orders[[#This Row],[Customer Gender]]="F","Female",orders[[#This Row],[Customer Gender]]="o","Others",TRUE,"Unknown")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 "Male",orders[[#This Row],[Customer Gender]]="F","Female",orders[[#This Row],[Customer Gender]]="o","Others",TRUE,"Unknown")</f>
        <v>Others</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 "Male",orders[[#This Row],[Customer Gender]]="F","Female",orders[[#This Row],[Customer Gender]]="o","Others",TRUE,"Unknown")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 "Male",orders[[#This Row],[Customer Gender]]="F","Female",orders[[#This Row],[Customer Gender]]="o","Others",TRUE,"Unknown")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 "Male",orders[[#This Row],[Customer Gender]]="F","Female",orders[[#This Row],[Customer Gender]]="o","Others",TRUE,"Unknown")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 "Male",orders[[#This Row],[Customer Gender]]="F","Female",orders[[#This Row],[Customer Gender]]="o","Others",TRUE,"Unknown")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 "Male",orders[[#This Row],[Customer Gender]]="F","Female",orders[[#This Row],[Customer Gender]]="o","Others",TRUE,"Unknown")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 "Male",orders[[#This Row],[Customer Gender]]="F","Female",orders[[#This Row],[Customer Gender]]="o","Others",TRUE,"Unknown")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 "Male",orders[[#This Row],[Customer Gender]]="F","Female",orders[[#This Row],[Customer Gender]]="o","Others",TRUE,"Unknown")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 "Male",orders[[#This Row],[Customer Gender]]="F","Female",orders[[#This Row],[Customer Gender]]="o","Others",TRUE,"Unknown")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 "Male",orders[[#This Row],[Customer Gender]]="F","Female",orders[[#This Row],[Customer Gender]]="o","Others",TRUE,"Unknown")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 "Male",orders[[#This Row],[Customer Gender]]="F","Female",orders[[#This Row],[Customer Gender]]="o","Others",TRUE,"Unknown")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 "Male",orders[[#This Row],[Customer Gender]]="F","Female",orders[[#This Row],[Customer Gender]]="o","Others",TRUE,"Unknown")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 "Male",orders[[#This Row],[Customer Gender]]="F","Female",orders[[#This Row],[Customer Gender]]="o","Others",TRUE,"Unknown")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 "Male",orders[[#This Row],[Customer Gender]]="F","Female",orders[[#This Row],[Customer Gender]]="o","Others",TRUE,"Unknown")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 "Male",orders[[#This Row],[Customer Gender]]="F","Female",orders[[#This Row],[Customer Gender]]="o","Others",TRUE,"Unknown")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 "Male",orders[[#This Row],[Customer Gender]]="F","Female",orders[[#This Row],[Customer Gender]]="o","Others",TRUE,"Unknown")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 "Male",orders[[#This Row],[Customer Gender]]="F","Female",orders[[#This Row],[Customer Gender]]="o","Others",TRUE,"Unknown")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 "Male",orders[[#This Row],[Customer Gender]]="F","Female",orders[[#This Row],[Customer Gender]]="o","Others",TRUE,"Unknown")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 "Male",orders[[#This Row],[Customer Gender]]="F","Female",orders[[#This Row],[Customer Gender]]="o","Others",TRUE,"Unknown")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 "Male",orders[[#This Row],[Customer Gender]]="F","Female",orders[[#This Row],[Customer Gender]]="o","Others",TRUE,"Unknown")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 "Male",orders[[#This Row],[Customer Gender]]="F","Female",orders[[#This Row],[Customer Gender]]="o","Others",TRUE,"Unknown")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 "Male",orders[[#This Row],[Customer Gender]]="F","Female",orders[[#This Row],[Customer Gender]]="o","Others",TRUE,"Unknown")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 "Male",orders[[#This Row],[Customer Gender]]="F","Female",orders[[#This Row],[Customer Gender]]="o","Others",TRUE,"Unknown")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 "Male",orders[[#This Row],[Customer Gender]]="F","Female",orders[[#This Row],[Customer Gender]]="o","Others",TRUE,"Unknown")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 "Male",orders[[#This Row],[Customer Gender]]="F","Female",orders[[#This Row],[Customer Gender]]="o","Others",TRUE,"Unknown")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 "Male",orders[[#This Row],[Customer Gender]]="F","Female",orders[[#This Row],[Customer Gender]]="o","Others",TRUE,"Unknown")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 "Male",orders[[#This Row],[Customer Gender]]="F","Female",orders[[#This Row],[Customer Gender]]="o","Others",TRUE,"Unknown")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 "Male",orders[[#This Row],[Customer Gender]]="F","Female",orders[[#This Row],[Customer Gender]]="o","Others",TRUE,"Unknown")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 "Male",orders[[#This Row],[Customer Gender]]="F","Female",orders[[#This Row],[Customer Gender]]="o","Others",TRUE,"Unknown")</f>
        <v>Others</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 "Male",orders[[#This Row],[Customer Gender]]="F","Female",orders[[#This Row],[Customer Gender]]="o","Others",TRUE,"Unknown")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 "Male",orders[[#This Row],[Customer Gender]]="F","Female",orders[[#This Row],[Customer Gender]]="o","Others",TRUE,"Unknown")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 "Male",orders[[#This Row],[Customer Gender]]="F","Female",orders[[#This Row],[Customer Gender]]="o","Others",TRUE,"Unknown")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 "Male",orders[[#This Row],[Customer Gender]]="F","Female",orders[[#This Row],[Customer Gender]]="o","Others",TRUE,"Unknown")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 "Male",orders[[#This Row],[Customer Gender]]="F","Female",orders[[#This Row],[Customer Gender]]="o","Others",TRUE,"Unknown")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 "Male",orders[[#This Row],[Customer Gender]]="F","Female",orders[[#This Row],[Customer Gender]]="o","Others",TRUE,"Unknown")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 "Male",orders[[#This Row],[Customer Gender]]="F","Female",orders[[#This Row],[Customer Gender]]="o","Others",TRUE,"Unknown")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 "Male",orders[[#This Row],[Customer Gender]]="F","Female",orders[[#This Row],[Customer Gender]]="o","Others",TRUE,"Unknown")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 "Male",orders[[#This Row],[Customer Gender]]="F","Female",orders[[#This Row],[Customer Gender]]="o","Others",TRUE,"Unknown")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 "Male",orders[[#This Row],[Customer Gender]]="F","Female",orders[[#This Row],[Customer Gender]]="o","Others",TRUE,"Unknown")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 "Male",orders[[#This Row],[Customer Gender]]="F","Female",orders[[#This Row],[Customer Gender]]="o","Others",TRUE,"Unknown")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 "Male",orders[[#This Row],[Customer Gender]]="F","Female",orders[[#This Row],[Customer Gender]]="o","Others",TRUE,"Unknown")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 "Male",orders[[#This Row],[Customer Gender]]="F","Female",orders[[#This Row],[Customer Gender]]="o","Others",TRUE,"Unknown")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 "Male",orders[[#This Row],[Customer Gender]]="F","Female",orders[[#This Row],[Customer Gender]]="o","Others",TRUE,"Unknown")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 "Male",orders[[#This Row],[Customer Gender]]="F","Female",orders[[#This Row],[Customer Gender]]="o","Others",TRUE,"Unknown")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 "Male",orders[[#This Row],[Customer Gender]]="F","Female",orders[[#This Row],[Customer Gender]]="o","Others",TRUE,"Unknown")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 "Male",orders[[#This Row],[Customer Gender]]="F","Female",orders[[#This Row],[Customer Gender]]="o","Others",TRUE,"Unknown")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 "Male",orders[[#This Row],[Customer Gender]]="F","Female",orders[[#This Row],[Customer Gender]]="o","Others",TRUE,"Unknown")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 "Male",orders[[#This Row],[Customer Gender]]="F","Female",orders[[#This Row],[Customer Gender]]="o","Others",TRUE,"Unknown")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 "Male",orders[[#This Row],[Customer Gender]]="F","Female",orders[[#This Row],[Customer Gender]]="o","Others",TRUE,"Unknown")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 "Male",orders[[#This Row],[Customer Gender]]="F","Female",orders[[#This Row],[Customer Gender]]="o","Others",TRUE,"Unknown")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 "Male",orders[[#This Row],[Customer Gender]]="F","Female",orders[[#This Row],[Customer Gender]]="o","Others",TRUE,"Unknown")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 "Male",orders[[#This Row],[Customer Gender]]="F","Female",orders[[#This Row],[Customer Gender]]="o","Others",TRUE,"Unknown")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 "Male",orders[[#This Row],[Customer Gender]]="F","Female",orders[[#This Row],[Customer Gender]]="o","Others",TRUE,"Unknown")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 "Male",orders[[#This Row],[Customer Gender]]="F","Female",orders[[#This Row],[Customer Gender]]="o","Others",TRUE,"Unknown")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 "Male",orders[[#This Row],[Customer Gender]]="F","Female",orders[[#This Row],[Customer Gender]]="o","Others",TRUE,"Unknown")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 "Male",orders[[#This Row],[Customer Gender]]="F","Female",orders[[#This Row],[Customer Gender]]="o","Others",TRUE,"Unknown")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 "Male",orders[[#This Row],[Customer Gender]]="F","Female",orders[[#This Row],[Customer Gender]]="o","Others",TRUE,"Unknown")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 "Male",orders[[#This Row],[Customer Gender]]="F","Female",orders[[#This Row],[Customer Gender]]="o","Others",TRUE,"Unknown")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 "Male",orders[[#This Row],[Customer Gender]]="F","Female",orders[[#This Row],[Customer Gender]]="o","Others",TRUE,"Unknown")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 "Male",orders[[#This Row],[Customer Gender]]="F","Female",orders[[#This Row],[Customer Gender]]="o","Others",TRUE,"Unknown")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 "Male",orders[[#This Row],[Customer Gender]]="F","Female",orders[[#This Row],[Customer Gender]]="o","Others",TRUE,"Unknown")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 "Male",orders[[#This Row],[Customer Gender]]="F","Female",orders[[#This Row],[Customer Gender]]="o","Others",TRUE,"Unknown")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 "Male",orders[[#This Row],[Customer Gender]]="F","Female",orders[[#This Row],[Customer Gender]]="o","Others",TRUE,"Unknown")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 "Male",orders[[#This Row],[Customer Gender]]="F","Female",orders[[#This Row],[Customer Gender]]="o","Others",TRUE,"Unknown")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 "Male",orders[[#This Row],[Customer Gender]]="F","Female",orders[[#This Row],[Customer Gender]]="o","Others",TRUE,"Unknown")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 "Male",orders[[#This Row],[Customer Gender]]="F","Female",orders[[#This Row],[Customer Gender]]="o","Others",TRUE,"Unknown")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 "Male",orders[[#This Row],[Customer Gender]]="F","Female",orders[[#This Row],[Customer Gender]]="o","Others",TRUE,"Unknown")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 "Male",orders[[#This Row],[Customer Gender]]="F","Female",orders[[#This Row],[Customer Gender]]="o","Others",TRUE,"Unknown")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 "Male",orders[[#This Row],[Customer Gender]]="F","Female",orders[[#This Row],[Customer Gender]]="o","Others",TRUE,"Unknown")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 "Male",orders[[#This Row],[Customer Gender]]="F","Female",orders[[#This Row],[Customer Gender]]="o","Others",TRUE,"Unknown")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 "Male",orders[[#This Row],[Customer Gender]]="F","Female",orders[[#This Row],[Customer Gender]]="o","Others",TRUE,"Unknown")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 "Male",orders[[#This Row],[Customer Gender]]="F","Female",orders[[#This Row],[Customer Gender]]="o","Others",TRUE,"Unknown")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 "Male",orders[[#This Row],[Customer Gender]]="F","Female",orders[[#This Row],[Customer Gender]]="o","Others",TRUE,"Unknown")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 "Male",orders[[#This Row],[Customer Gender]]="F","Female",orders[[#This Row],[Customer Gender]]="o","Others",TRUE,"Unknown")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 "Male",orders[[#This Row],[Customer Gender]]="F","Female",orders[[#This Row],[Customer Gender]]="o","Others",TRUE,"Unknown")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 "Male",orders[[#This Row],[Customer Gender]]="F","Female",orders[[#This Row],[Customer Gender]]="o","Others",TRUE,"Unknown")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 "Male",orders[[#This Row],[Customer Gender]]="F","Female",orders[[#This Row],[Customer Gender]]="o","Others",TRUE,"Unknown")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 "Male",orders[[#This Row],[Customer Gender]]="F","Female",orders[[#This Row],[Customer Gender]]="o","Others",TRUE,"Unknown")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 "Male",orders[[#This Row],[Customer Gender]]="F","Female",orders[[#This Row],[Customer Gender]]="o","Others",TRUE,"Unknown")</f>
        <v>Others</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 "Male",orders[[#This Row],[Customer Gender]]="F","Female",orders[[#This Row],[Customer Gender]]="o","Others",TRUE,"Unknown")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 "Male",orders[[#This Row],[Customer Gender]]="F","Female",orders[[#This Row],[Customer Gender]]="o","Others",TRUE,"Unknown")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 "Male",orders[[#This Row],[Customer Gender]]="F","Female",orders[[#This Row],[Customer Gender]]="o","Others",TRUE,"Unknown")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 "Male",orders[[#This Row],[Customer Gender]]="F","Female",orders[[#This Row],[Customer Gender]]="o","Others",TRUE,"Unknown")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 "Male",orders[[#This Row],[Customer Gender]]="F","Female",orders[[#This Row],[Customer Gender]]="o","Others",TRUE,"Unknown")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 "Male",orders[[#This Row],[Customer Gender]]="F","Female",orders[[#This Row],[Customer Gender]]="o","Others",TRUE,"Unknown")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 "Male",orders[[#This Row],[Customer Gender]]="F","Female",orders[[#This Row],[Customer Gender]]="o","Others",TRUE,"Unknown")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 "Male",orders[[#This Row],[Customer Gender]]="F","Female",orders[[#This Row],[Customer Gender]]="o","Others",TRUE,"Unknown")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 "Male",orders[[#This Row],[Customer Gender]]="F","Female",orders[[#This Row],[Customer Gender]]="o","Others",TRUE,"Unknown")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 "Male",orders[[#This Row],[Customer Gender]]="F","Female",orders[[#This Row],[Customer Gender]]="o","Others",TRUE,"Unknown")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 "Male",orders[[#This Row],[Customer Gender]]="F","Female",orders[[#This Row],[Customer Gender]]="o","Others",TRUE,"Unknown")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 "Male",orders[[#This Row],[Customer Gender]]="F","Female",orders[[#This Row],[Customer Gender]]="o","Others",TRUE,"Unknown")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 "Male",orders[[#This Row],[Customer Gender]]="F","Female",orders[[#This Row],[Customer Gender]]="o","Others",TRUE,"Unknown")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 "Male",orders[[#This Row],[Customer Gender]]="F","Female",orders[[#This Row],[Customer Gender]]="o","Others",TRUE,"Unknown")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 "Male",orders[[#This Row],[Customer Gender]]="F","Female",orders[[#This Row],[Customer Gender]]="o","Others",TRUE,"Unknown")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 "Male",orders[[#This Row],[Customer Gender]]="F","Female",orders[[#This Row],[Customer Gender]]="o","Others",TRUE,"Unknown")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 "Male",orders[[#This Row],[Customer Gender]]="F","Female",orders[[#This Row],[Customer Gender]]="o","Others",TRUE,"Unknown")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 "Male",orders[[#This Row],[Customer Gender]]="F","Female",orders[[#This Row],[Customer Gender]]="o","Others",TRUE,"Unknown")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 "Male",orders[[#This Row],[Customer Gender]]="F","Female",orders[[#This Row],[Customer Gender]]="o","Others",TRUE,"Unknown")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 "Male",orders[[#This Row],[Customer Gender]]="F","Female",orders[[#This Row],[Customer Gender]]="o","Others",TRUE,"Unknown")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 "Male",orders[[#This Row],[Customer Gender]]="F","Female",orders[[#This Row],[Customer Gender]]="o","Others",TRUE,"Unknown")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 "Male",orders[[#This Row],[Customer Gender]]="F","Female",orders[[#This Row],[Customer Gender]]="o","Others",TRUE,"Unknown")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 "Male",orders[[#This Row],[Customer Gender]]="F","Female",orders[[#This Row],[Customer Gender]]="o","Others",TRUE,"Unknown")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 "Male",orders[[#This Row],[Customer Gender]]="F","Female",orders[[#This Row],[Customer Gender]]="o","Others",TRUE,"Unknown")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 "Male",orders[[#This Row],[Customer Gender]]="F","Female",orders[[#This Row],[Customer Gender]]="o","Others",TRUE,"Unknown")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 "Male",orders[[#This Row],[Customer Gender]]="F","Female",orders[[#This Row],[Customer Gender]]="o","Others",TRUE,"Unknown")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 "Male",orders[[#This Row],[Customer Gender]]="F","Female",orders[[#This Row],[Customer Gender]]="o","Others",TRUE,"Unknown")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 "Male",orders[[#This Row],[Customer Gender]]="F","Female",orders[[#This Row],[Customer Gender]]="o","Others",TRUE,"Unknown")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 "Male",orders[[#This Row],[Customer Gender]]="F","Female",orders[[#This Row],[Customer Gender]]="o","Others",TRUE,"Unknown")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 "Male",orders[[#This Row],[Customer Gender]]="F","Female",orders[[#This Row],[Customer Gender]]="o","Others",TRUE,"Unknown")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 "Male",orders[[#This Row],[Customer Gender]]="F","Female",orders[[#This Row],[Customer Gender]]="o","Others",TRUE,"Unknown")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 "Male",orders[[#This Row],[Customer Gender]]="F","Female",orders[[#This Row],[Customer Gender]]="o","Others",TRUE,"Unknown")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 "Male",orders[[#This Row],[Customer Gender]]="F","Female",orders[[#This Row],[Customer Gender]]="o","Others",TRUE,"Unknown")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 "Male",orders[[#This Row],[Customer Gender]]="F","Female",orders[[#This Row],[Customer Gender]]="o","Others",TRUE,"Unknown")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 "Male",orders[[#This Row],[Customer Gender]]="F","Female",orders[[#This Row],[Customer Gender]]="o","Others",TRUE,"Unknown")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 "Male",orders[[#This Row],[Customer Gender]]="F","Female",orders[[#This Row],[Customer Gender]]="o","Others",TRUE,"Unknown")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 "Male",orders[[#This Row],[Customer Gender]]="F","Female",orders[[#This Row],[Customer Gender]]="o","Others",TRUE,"Unknown")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 "Male",orders[[#This Row],[Customer Gender]]="F","Female",orders[[#This Row],[Customer Gender]]="o","Others",TRUE,"Unknown")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 "Male",orders[[#This Row],[Customer Gender]]="F","Female",orders[[#This Row],[Customer Gender]]="o","Others",TRUE,"Unknown")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 "Male",orders[[#This Row],[Customer Gender]]="F","Female",orders[[#This Row],[Customer Gender]]="o","Others",TRUE,"Unknown")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 "Male",orders[[#This Row],[Customer Gender]]="F","Female",orders[[#This Row],[Customer Gender]]="o","Others",TRUE,"Unknown")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 "Male",orders[[#This Row],[Customer Gender]]="F","Female",orders[[#This Row],[Customer Gender]]="o","Others",TRUE,"Unknown")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 "Male",orders[[#This Row],[Customer Gender]]="F","Female",orders[[#This Row],[Customer Gender]]="o","Others",TRUE,"Unknown")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 "Male",orders[[#This Row],[Customer Gender]]="F","Female",orders[[#This Row],[Customer Gender]]="o","Others",TRUE,"Unknown")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 "Male",orders[[#This Row],[Customer Gender]]="F","Female",orders[[#This Row],[Customer Gender]]="o","Others",TRUE,"Unknown")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 "Male",orders[[#This Row],[Customer Gender]]="F","Female",orders[[#This Row],[Customer Gender]]="o","Others",TRUE,"Unknown")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 "Male",orders[[#This Row],[Customer Gender]]="F","Female",orders[[#This Row],[Customer Gender]]="o","Others",TRUE,"Unknown")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 "Male",orders[[#This Row],[Customer Gender]]="F","Female",orders[[#This Row],[Customer Gender]]="o","Others",TRUE,"Unknown")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 "Male",orders[[#This Row],[Customer Gender]]="F","Female",orders[[#This Row],[Customer Gender]]="o","Others",TRUE,"Unknown")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 "Male",orders[[#This Row],[Customer Gender]]="F","Female",orders[[#This Row],[Customer Gender]]="o","Others",TRUE,"Unknown")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 "Male",orders[[#This Row],[Customer Gender]]="F","Female",orders[[#This Row],[Customer Gender]]="o","Others",TRUE,"Unknown")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 "Male",orders[[#This Row],[Customer Gender]]="F","Female",orders[[#This Row],[Customer Gender]]="o","Others",TRUE,"Unknown")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 "Male",orders[[#This Row],[Customer Gender]]="F","Female",orders[[#This Row],[Customer Gender]]="o","Others",TRUE,"Unknown")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 "Male",orders[[#This Row],[Customer Gender]]="F","Female",orders[[#This Row],[Customer Gender]]="o","Others",TRUE,"Unknown")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 "Male",orders[[#This Row],[Customer Gender]]="F","Female",orders[[#This Row],[Customer Gender]]="o","Others",TRUE,"Unknown")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 "Male",orders[[#This Row],[Customer Gender]]="F","Female",orders[[#This Row],[Customer Gender]]="o","Others",TRUE,"Unknown")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 "Male",orders[[#This Row],[Customer Gender]]="F","Female",orders[[#This Row],[Customer Gender]]="o","Others",TRUE,"Unknown")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 "Male",orders[[#This Row],[Customer Gender]]="F","Female",orders[[#This Row],[Customer Gender]]="o","Others",TRUE,"Unknown")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 "Male",orders[[#This Row],[Customer Gender]]="F","Female",orders[[#This Row],[Customer Gender]]="o","Others",TRUE,"Unknown")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 "Male",orders[[#This Row],[Customer Gender]]="F","Female",orders[[#This Row],[Customer Gender]]="o","Others",TRUE,"Unknown")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 "Male",orders[[#This Row],[Customer Gender]]="F","Female",orders[[#This Row],[Customer Gender]]="o","Others",TRUE,"Unknown")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 "Male",orders[[#This Row],[Customer Gender]]="F","Female",orders[[#This Row],[Customer Gender]]="o","Others",TRUE,"Unknown")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 "Male",orders[[#This Row],[Customer Gender]]="F","Female",orders[[#This Row],[Customer Gender]]="o","Others",TRUE,"Unknown")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 "Male",orders[[#This Row],[Customer Gender]]="F","Female",orders[[#This Row],[Customer Gender]]="o","Others",TRUE,"Unknown")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 "Male",orders[[#This Row],[Customer Gender]]="F","Female",orders[[#This Row],[Customer Gender]]="o","Others",TRUE,"Unknown")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 "Male",orders[[#This Row],[Customer Gender]]="F","Female",orders[[#This Row],[Customer Gender]]="o","Others",TRUE,"Unknown")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 "Male",orders[[#This Row],[Customer Gender]]="F","Female",orders[[#This Row],[Customer Gender]]="o","Others",TRUE,"Unknown")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 "Male",orders[[#This Row],[Customer Gender]]="F","Female",orders[[#This Row],[Customer Gender]]="o","Others",TRUE,"Unknown")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 "Male",orders[[#This Row],[Customer Gender]]="F","Female",orders[[#This Row],[Customer Gender]]="o","Others",TRUE,"Unknown")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 "Male",orders[[#This Row],[Customer Gender]]="F","Female",orders[[#This Row],[Customer Gender]]="o","Others",TRUE,"Unknown")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 "Male",orders[[#This Row],[Customer Gender]]="F","Female",orders[[#This Row],[Customer Gender]]="o","Others",TRUE,"Unknown")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 "Male",orders[[#This Row],[Customer Gender]]="F","Female",orders[[#This Row],[Customer Gender]]="o","Others",TRUE,"Unknown")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 "Male",orders[[#This Row],[Customer Gender]]="F","Female",orders[[#This Row],[Customer Gender]]="o","Others",TRUE,"Unknown")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 "Male",orders[[#This Row],[Customer Gender]]="F","Female",orders[[#This Row],[Customer Gender]]="o","Others",TRUE,"Unknown")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 "Male",orders[[#This Row],[Customer Gender]]="F","Female",orders[[#This Row],[Customer Gender]]="o","Others",TRUE,"Unknown")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 "Male",orders[[#This Row],[Customer Gender]]="F","Female",orders[[#This Row],[Customer Gender]]="o","Others",TRUE,"Unknown")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 "Male",orders[[#This Row],[Customer Gender]]="F","Female",orders[[#This Row],[Customer Gender]]="o","Others",TRUE,"Unknown")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 "Male",orders[[#This Row],[Customer Gender]]="F","Female",orders[[#This Row],[Customer Gender]]="o","Others",TRUE,"Unknown")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 "Male",orders[[#This Row],[Customer Gender]]="F","Female",orders[[#This Row],[Customer Gender]]="o","Others",TRUE,"Unknown")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 "Male",orders[[#This Row],[Customer Gender]]="F","Female",orders[[#This Row],[Customer Gender]]="o","Others",TRUE,"Unknown")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 "Male",orders[[#This Row],[Customer Gender]]="F","Female",orders[[#This Row],[Customer Gender]]="o","Others",TRUE,"Unknown")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 "Male",orders[[#This Row],[Customer Gender]]="F","Female",orders[[#This Row],[Customer Gender]]="o","Others",TRUE,"Unknown")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 "Male",orders[[#This Row],[Customer Gender]]="F","Female",orders[[#This Row],[Customer Gender]]="o","Others",TRUE,"Unknown")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 "Male",orders[[#This Row],[Customer Gender]]="F","Female",orders[[#This Row],[Customer Gender]]="o","Others",TRUE,"Unknown")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 "Male",orders[[#This Row],[Customer Gender]]="F","Female",orders[[#This Row],[Customer Gender]]="o","Others",TRUE,"Unknown")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 "Male",orders[[#This Row],[Customer Gender]]="F","Female",orders[[#This Row],[Customer Gender]]="o","Others",TRUE,"Unknown")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 "Male",orders[[#This Row],[Customer Gender]]="F","Female",orders[[#This Row],[Customer Gender]]="o","Others",TRUE,"Unknown")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 "Male",orders[[#This Row],[Customer Gender]]="F","Female",orders[[#This Row],[Customer Gender]]="o","Others",TRUE,"Unknown")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 "Male",orders[[#This Row],[Customer Gender]]="F","Female",orders[[#This Row],[Customer Gender]]="o","Others",TRUE,"Unknown")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 "Male",orders[[#This Row],[Customer Gender]]="F","Female",orders[[#This Row],[Customer Gender]]="o","Others",TRUE,"Unknown")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 "Male",orders[[#This Row],[Customer Gender]]="F","Female",orders[[#This Row],[Customer Gender]]="o","Others",TRUE,"Unknown")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 "Male",orders[[#This Row],[Customer Gender]]="F","Female",orders[[#This Row],[Customer Gender]]="o","Others",TRUE,"Unknown")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 "Male",orders[[#This Row],[Customer Gender]]="F","Female",orders[[#This Row],[Customer Gender]]="o","Others",TRUE,"Unknown")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 "Male",orders[[#This Row],[Customer Gender]]="F","Female",orders[[#This Row],[Customer Gender]]="o","Others",TRUE,"Unknown")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 "Male",orders[[#This Row],[Customer Gender]]="F","Female",orders[[#This Row],[Customer Gender]]="o","Others",TRUE,"Unknown")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 "Male",orders[[#This Row],[Customer Gender]]="F","Female",orders[[#This Row],[Customer Gender]]="o","Others",TRUE,"Unknown")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 "Male",orders[[#This Row],[Customer Gender]]="F","Female",orders[[#This Row],[Customer Gender]]="o","Others",TRUE,"Unknown")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 "Male",orders[[#This Row],[Customer Gender]]="F","Female",orders[[#This Row],[Customer Gender]]="o","Others",TRUE,"Unknown")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 "Male",orders[[#This Row],[Customer Gender]]="F","Female",orders[[#This Row],[Customer Gender]]="o","Others",TRUE,"Unknown")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 "Male",orders[[#This Row],[Customer Gender]]="F","Female",orders[[#This Row],[Customer Gender]]="o","Others",TRUE,"Unknown")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 "Male",orders[[#This Row],[Customer Gender]]="F","Female",orders[[#This Row],[Customer Gender]]="o","Others",TRUE,"Unknown")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 "Male",orders[[#This Row],[Customer Gender]]="F","Female",orders[[#This Row],[Customer Gender]]="o","Others",TRUE,"Unknown")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 "Male",orders[[#This Row],[Customer Gender]]="F","Female",orders[[#This Row],[Customer Gender]]="o","Others",TRUE,"Unknown")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 "Male",orders[[#This Row],[Customer Gender]]="F","Female",orders[[#This Row],[Customer Gender]]="o","Others",TRUE,"Unknown")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 "Male",orders[[#This Row],[Customer Gender]]="F","Female",orders[[#This Row],[Customer Gender]]="o","Others",TRUE,"Unknown")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 "Male",orders[[#This Row],[Customer Gender]]="F","Female",orders[[#This Row],[Customer Gender]]="o","Others",TRUE,"Unknown")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 "Male",orders[[#This Row],[Customer Gender]]="F","Female",orders[[#This Row],[Customer Gender]]="o","Others",TRUE,"Unknown")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 "Male",orders[[#This Row],[Customer Gender]]="F","Female",orders[[#This Row],[Customer Gender]]="o","Others",TRUE,"Unknown")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 "Male",orders[[#This Row],[Customer Gender]]="F","Female",orders[[#This Row],[Customer Gender]]="o","Others",TRUE,"Unknown")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 "Male",orders[[#This Row],[Customer Gender]]="F","Female",orders[[#This Row],[Customer Gender]]="o","Others",TRUE,"Unknown")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 "Male",orders[[#This Row],[Customer Gender]]="F","Female",orders[[#This Row],[Customer Gender]]="o","Others",TRUE,"Unknown")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 "Male",orders[[#This Row],[Customer Gender]]="F","Female",orders[[#This Row],[Customer Gender]]="o","Others",TRUE,"Unknown")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 "Male",orders[[#This Row],[Customer Gender]]="F","Female",orders[[#This Row],[Customer Gender]]="o","Others",TRUE,"Unknown")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 "Male",orders[[#This Row],[Customer Gender]]="F","Female",orders[[#This Row],[Customer Gender]]="o","Others",TRUE,"Unknown")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 "Male",orders[[#This Row],[Customer Gender]]="F","Female",orders[[#This Row],[Customer Gender]]="o","Others",TRUE,"Unknown")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 "Male",orders[[#This Row],[Customer Gender]]="F","Female",orders[[#This Row],[Customer Gender]]="o","Others",TRUE,"Unknown")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 "Male",orders[[#This Row],[Customer Gender]]="F","Female",orders[[#This Row],[Customer Gender]]="o","Others",TRUE,"Unknown")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 "Male",orders[[#This Row],[Customer Gender]]="F","Female",orders[[#This Row],[Customer Gender]]="o","Others",TRUE,"Unknown")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 "Male",orders[[#This Row],[Customer Gender]]="F","Female",orders[[#This Row],[Customer Gender]]="o","Others",TRUE,"Unknown")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 "Male",orders[[#This Row],[Customer Gender]]="F","Female",orders[[#This Row],[Customer Gender]]="o","Others",TRUE,"Unknown")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 "Male",orders[[#This Row],[Customer Gender]]="F","Female",orders[[#This Row],[Customer Gender]]="o","Others",TRUE,"Unknown")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 "Male",orders[[#This Row],[Customer Gender]]="F","Female",orders[[#This Row],[Customer Gender]]="o","Others",TRUE,"Unknown")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 "Male",orders[[#This Row],[Customer Gender]]="F","Female",orders[[#This Row],[Customer Gender]]="o","Others",TRUE,"Unknown")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 "Male",orders[[#This Row],[Customer Gender]]="F","Female",orders[[#This Row],[Customer Gender]]="o","Others",TRUE,"Unknown")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 "Male",orders[[#This Row],[Customer Gender]]="F","Female",orders[[#This Row],[Customer Gender]]="o","Others",TRUE,"Unknown")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 "Male",orders[[#This Row],[Customer Gender]]="F","Female",orders[[#This Row],[Customer Gender]]="o","Others",TRUE,"Unknown")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 "Male",orders[[#This Row],[Customer Gender]]="F","Female",orders[[#This Row],[Customer Gender]]="o","Others",TRUE,"Unknown")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 "Male",orders[[#This Row],[Customer Gender]]="F","Female",orders[[#This Row],[Customer Gender]]="o","Others",TRUE,"Unknown")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 "Male",orders[[#This Row],[Customer Gender]]="F","Female",orders[[#This Row],[Customer Gender]]="o","Others",TRUE,"Unknown")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 "Male",orders[[#This Row],[Customer Gender]]="F","Female",orders[[#This Row],[Customer Gender]]="o","Others",TRUE,"Unknown")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 "Male",orders[[#This Row],[Customer Gender]]="F","Female",orders[[#This Row],[Customer Gender]]="o","Others",TRUE,"Unknown")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 "Male",orders[[#This Row],[Customer Gender]]="F","Female",orders[[#This Row],[Customer Gender]]="o","Others",TRUE,"Unknown")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 "Male",orders[[#This Row],[Customer Gender]]="F","Female",orders[[#This Row],[Customer Gender]]="o","Others",TRUE,"Unknown")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 "Male",orders[[#This Row],[Customer Gender]]="F","Female",orders[[#This Row],[Customer Gender]]="o","Others",TRUE,"Unknown")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 "Male",orders[[#This Row],[Customer Gender]]="F","Female",orders[[#This Row],[Customer Gender]]="o","Others",TRUE,"Unknown")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 "Male",orders[[#This Row],[Customer Gender]]="F","Female",orders[[#This Row],[Customer Gender]]="o","Others",TRUE,"Unknown")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 "Male",orders[[#This Row],[Customer Gender]]="F","Female",orders[[#This Row],[Customer Gender]]="o","Others",TRUE,"Unknown")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 "Male",orders[[#This Row],[Customer Gender]]="F","Female",orders[[#This Row],[Customer Gender]]="o","Others",TRUE,"Unknown")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 "Male",orders[[#This Row],[Customer Gender]]="F","Female",orders[[#This Row],[Customer Gender]]="o","Others",TRUE,"Unknown")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 "Male",orders[[#This Row],[Customer Gender]]="F","Female",orders[[#This Row],[Customer Gender]]="o","Others",TRUE,"Unknown")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 "Male",orders[[#This Row],[Customer Gender]]="F","Female",orders[[#This Row],[Customer Gender]]="o","Others",TRUE,"Unknown")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 "Male",orders[[#This Row],[Customer Gender]]="F","Female",orders[[#This Row],[Customer Gender]]="o","Others",TRUE,"Unknown")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 "Male",orders[[#This Row],[Customer Gender]]="F","Female",orders[[#This Row],[Customer Gender]]="o","Others",TRUE,"Unknown")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 "Male",orders[[#This Row],[Customer Gender]]="F","Female",orders[[#This Row],[Customer Gender]]="o","Others",TRUE,"Unknown")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 "Male",orders[[#This Row],[Customer Gender]]="F","Female",orders[[#This Row],[Customer Gender]]="o","Others",TRUE,"Unknown")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 "Male",orders[[#This Row],[Customer Gender]]="F","Female",orders[[#This Row],[Customer Gender]]="o","Others",TRUE,"Unknown")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 "Male",orders[[#This Row],[Customer Gender]]="F","Female",orders[[#This Row],[Customer Gender]]="o","Others",TRUE,"Unknown")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 "Male",orders[[#This Row],[Customer Gender]]="F","Female",orders[[#This Row],[Customer Gender]]="o","Others",TRUE,"Unknown")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 "Male",orders[[#This Row],[Customer Gender]]="F","Female",orders[[#This Row],[Customer Gender]]="o","Others",TRUE,"Unknown")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 "Male",orders[[#This Row],[Customer Gender]]="F","Female",orders[[#This Row],[Customer Gender]]="o","Others",TRUE,"Unknown")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 "Male",orders[[#This Row],[Customer Gender]]="F","Female",orders[[#This Row],[Customer Gender]]="o","Others",TRUE,"Unknown")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 "Male",orders[[#This Row],[Customer Gender]]="F","Female",orders[[#This Row],[Customer Gender]]="o","Others",TRUE,"Unknown")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 "Male",orders[[#This Row],[Customer Gender]]="F","Female",orders[[#This Row],[Customer Gender]]="o","Others",TRUE,"Unknown")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 "Male",orders[[#This Row],[Customer Gender]]="F","Female",orders[[#This Row],[Customer Gender]]="o","Others",TRUE,"Unknown")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 "Male",orders[[#This Row],[Customer Gender]]="F","Female",orders[[#This Row],[Customer Gender]]="o","Others",TRUE,"Unknown")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 "Male",orders[[#This Row],[Customer Gender]]="F","Female",orders[[#This Row],[Customer Gender]]="o","Others",TRUE,"Unknown")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 "Male",orders[[#This Row],[Customer Gender]]="F","Female",orders[[#This Row],[Customer Gender]]="o","Others",TRUE,"Unknown")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 "Male",orders[[#This Row],[Customer Gender]]="F","Female",orders[[#This Row],[Customer Gender]]="o","Others",TRUE,"Unknown")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 "Male",orders[[#This Row],[Customer Gender]]="F","Female",orders[[#This Row],[Customer Gender]]="o","Others",TRUE,"Unknown")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 "Male",orders[[#This Row],[Customer Gender]]="F","Female",orders[[#This Row],[Customer Gender]]="o","Others",TRUE,"Unknown")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 "Male",orders[[#This Row],[Customer Gender]]="F","Female",orders[[#This Row],[Customer Gender]]="o","Others",TRUE,"Unknown")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 "Male",orders[[#This Row],[Customer Gender]]="F","Female",orders[[#This Row],[Customer Gender]]="o","Others",TRUE,"Unknown")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 "Male",orders[[#This Row],[Customer Gender]]="F","Female",orders[[#This Row],[Customer Gender]]="o","Others",TRUE,"Unknown")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 "Male",orders[[#This Row],[Customer Gender]]="F","Female",orders[[#This Row],[Customer Gender]]="o","Others",TRUE,"Unknown")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 "Male",orders[[#This Row],[Customer Gender]]="F","Female",orders[[#This Row],[Customer Gender]]="o","Others",TRUE,"Unknown")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 "Male",orders[[#This Row],[Customer Gender]]="F","Female",orders[[#This Row],[Customer Gender]]="o","Others",TRUE,"Unknown")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 "Male",orders[[#This Row],[Customer Gender]]="F","Female",orders[[#This Row],[Customer Gender]]="o","Others",TRUE,"Unknown")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 "Male",orders[[#This Row],[Customer Gender]]="F","Female",orders[[#This Row],[Customer Gender]]="o","Others",TRUE,"Unknown")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 "Male",orders[[#This Row],[Customer Gender]]="F","Female",orders[[#This Row],[Customer Gender]]="o","Others",TRUE,"Unknown")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 "Male",orders[[#This Row],[Customer Gender]]="F","Female",orders[[#This Row],[Customer Gender]]="o","Others",TRUE,"Unknown")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 "Male",orders[[#This Row],[Customer Gender]]="F","Female",orders[[#This Row],[Customer Gender]]="o","Others",TRUE,"Unknown")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 "Male",orders[[#This Row],[Customer Gender]]="F","Female",orders[[#This Row],[Customer Gender]]="o","Others",TRUE,"Unknown")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 "Male",orders[[#This Row],[Customer Gender]]="F","Female",orders[[#This Row],[Customer Gender]]="o","Others",TRUE,"Unknown")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 "Male",orders[[#This Row],[Customer Gender]]="F","Female",orders[[#This Row],[Customer Gender]]="o","Others",TRUE,"Unknown")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 "Male",orders[[#This Row],[Customer Gender]]="F","Female",orders[[#This Row],[Customer Gender]]="o","Others",TRUE,"Unknown")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 "Male",orders[[#This Row],[Customer Gender]]="F","Female",orders[[#This Row],[Customer Gender]]="o","Others",TRUE,"Unknown")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 "Male",orders[[#This Row],[Customer Gender]]="F","Female",orders[[#This Row],[Customer Gender]]="o","Others",TRUE,"Unknown")</f>
        <v>Others</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 "Male",orders[[#This Row],[Customer Gender]]="F","Female",orders[[#This Row],[Customer Gender]]="o","Others",TRUE,"Unknown")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 "Male",orders[[#This Row],[Customer Gender]]="F","Female",orders[[#This Row],[Customer Gender]]="o","Others",TRUE,"Unknown")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 "Male",orders[[#This Row],[Customer Gender]]="F","Female",orders[[#This Row],[Customer Gender]]="o","Others",TRUE,"Unknown")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 "Male",orders[[#This Row],[Customer Gender]]="F","Female",orders[[#This Row],[Customer Gender]]="o","Others",TRUE,"Unknown")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 "Male",orders[[#This Row],[Customer Gender]]="F","Female",orders[[#This Row],[Customer Gender]]="o","Others",TRUE,"Unknown")</f>
        <v>Others</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 "Male",orders[[#This Row],[Customer Gender]]="F","Female",orders[[#This Row],[Customer Gender]]="o","Others",TRUE,"Unknown")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 "Male",orders[[#This Row],[Customer Gender]]="F","Female",orders[[#This Row],[Customer Gender]]="o","Others",TRUE,"Unknown")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 "Male",orders[[#This Row],[Customer Gender]]="F","Female",orders[[#This Row],[Customer Gender]]="o","Others",TRUE,"Unknown")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 "Male",orders[[#This Row],[Customer Gender]]="F","Female",orders[[#This Row],[Customer Gender]]="o","Others",TRUE,"Unknown")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 "Male",orders[[#This Row],[Customer Gender]]="F","Female",orders[[#This Row],[Customer Gender]]="o","Others",TRUE,"Unknown")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 "Male",orders[[#This Row],[Customer Gender]]="F","Female",orders[[#This Row],[Customer Gender]]="o","Others",TRUE,"Unknown")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 "Male",orders[[#This Row],[Customer Gender]]="F","Female",orders[[#This Row],[Customer Gender]]="o","Others",TRUE,"Unknown")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 "Male",orders[[#This Row],[Customer Gender]]="F","Female",orders[[#This Row],[Customer Gender]]="o","Others",TRUE,"Unknown")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 "Male",orders[[#This Row],[Customer Gender]]="F","Female",orders[[#This Row],[Customer Gender]]="o","Others",TRUE,"Unknown")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 "Male",orders[[#This Row],[Customer Gender]]="F","Female",orders[[#This Row],[Customer Gender]]="o","Others",TRUE,"Unknown")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 "Male",orders[[#This Row],[Customer Gender]]="F","Female",orders[[#This Row],[Customer Gender]]="o","Others",TRUE,"Unknown")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 "Male",orders[[#This Row],[Customer Gender]]="F","Female",orders[[#This Row],[Customer Gender]]="o","Others",TRUE,"Unknown")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 "Male",orders[[#This Row],[Customer Gender]]="F","Female",orders[[#This Row],[Customer Gender]]="o","Others",TRUE,"Unknown")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 "Male",orders[[#This Row],[Customer Gender]]="F","Female",orders[[#This Row],[Customer Gender]]="o","Others",TRUE,"Unknown")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 "Male",orders[[#This Row],[Customer Gender]]="F","Female",orders[[#This Row],[Customer Gender]]="o","Others",TRUE,"Unknown")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 "Male",orders[[#This Row],[Customer Gender]]="F","Female",orders[[#This Row],[Customer Gender]]="o","Others",TRUE,"Unknown")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 "Male",orders[[#This Row],[Customer Gender]]="F","Female",orders[[#This Row],[Customer Gender]]="o","Others",TRUE,"Unknown")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 "Male",orders[[#This Row],[Customer Gender]]="F","Female",orders[[#This Row],[Customer Gender]]="o","Others",TRUE,"Unknown")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 "Male",orders[[#This Row],[Customer Gender]]="F","Female",orders[[#This Row],[Customer Gender]]="o","Others",TRUE,"Unknown")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 "Male",orders[[#This Row],[Customer Gender]]="F","Female",orders[[#This Row],[Customer Gender]]="o","Others",TRUE,"Unknown")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 "Male",orders[[#This Row],[Customer Gender]]="F","Female",orders[[#This Row],[Customer Gender]]="o","Others",TRUE,"Unknown")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 "Male",orders[[#This Row],[Customer Gender]]="F","Female",orders[[#This Row],[Customer Gender]]="o","Others",TRUE,"Unknown")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 "Male",orders[[#This Row],[Customer Gender]]="F","Female",orders[[#This Row],[Customer Gender]]="o","Others",TRUE,"Unknown")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 "Male",orders[[#This Row],[Customer Gender]]="F","Female",orders[[#This Row],[Customer Gender]]="o","Others",TRUE,"Unknown")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 "Male",orders[[#This Row],[Customer Gender]]="F","Female",orders[[#This Row],[Customer Gender]]="o","Others",TRUE,"Unknown")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 "Male",orders[[#This Row],[Customer Gender]]="F","Female",orders[[#This Row],[Customer Gender]]="o","Others",TRUE,"Unknown")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 "Male",orders[[#This Row],[Customer Gender]]="F","Female",orders[[#This Row],[Customer Gender]]="o","Others",TRUE,"Unknown")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 "Male",orders[[#This Row],[Customer Gender]]="F","Female",orders[[#This Row],[Customer Gender]]="o","Others",TRUE,"Unknown")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 "Male",orders[[#This Row],[Customer Gender]]="F","Female",orders[[#This Row],[Customer Gender]]="o","Others",TRUE,"Unknown")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 "Male",orders[[#This Row],[Customer Gender]]="F","Female",orders[[#This Row],[Customer Gender]]="o","Others",TRUE,"Unknown")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 "Male",orders[[#This Row],[Customer Gender]]="F","Female",orders[[#This Row],[Customer Gender]]="o","Others",TRUE,"Unknown")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 "Male",orders[[#This Row],[Customer Gender]]="F","Female",orders[[#This Row],[Customer Gender]]="o","Others",TRUE,"Unknown")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 "Male",orders[[#This Row],[Customer Gender]]="F","Female",orders[[#This Row],[Customer Gender]]="o","Others",TRUE,"Unknown")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 "Male",orders[[#This Row],[Customer Gender]]="F","Female",orders[[#This Row],[Customer Gender]]="o","Others",TRUE,"Unknown")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 "Male",orders[[#This Row],[Customer Gender]]="F","Female",orders[[#This Row],[Customer Gender]]="o","Others",TRUE,"Unknown")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 "Male",orders[[#This Row],[Customer Gender]]="F","Female",orders[[#This Row],[Customer Gender]]="o","Others",TRUE,"Unknown")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 "Male",orders[[#This Row],[Customer Gender]]="F","Female",orders[[#This Row],[Customer Gender]]="o","Others",TRUE,"Unknown")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 "Male",orders[[#This Row],[Customer Gender]]="F","Female",orders[[#This Row],[Customer Gender]]="o","Others",TRUE,"Unknown")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 "Male",orders[[#This Row],[Customer Gender]]="F","Female",orders[[#This Row],[Customer Gender]]="o","Others",TRUE,"Unknown")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 "Male",orders[[#This Row],[Customer Gender]]="F","Female",orders[[#This Row],[Customer Gender]]="o","Others",TRUE,"Unknown")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 "Male",orders[[#This Row],[Customer Gender]]="F","Female",orders[[#This Row],[Customer Gender]]="o","Others",TRUE,"Unknown")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 "Male",orders[[#This Row],[Customer Gender]]="F","Female",orders[[#This Row],[Customer Gender]]="o","Others",TRUE,"Unknown")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 "Male",orders[[#This Row],[Customer Gender]]="F","Female",orders[[#This Row],[Customer Gender]]="o","Others",TRUE,"Unknown")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 "Male",orders[[#This Row],[Customer Gender]]="F","Female",orders[[#This Row],[Customer Gender]]="o","Others",TRUE,"Unknown")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 "Male",orders[[#This Row],[Customer Gender]]="F","Female",orders[[#This Row],[Customer Gender]]="o","Others",TRUE,"Unknown")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 "Male",orders[[#This Row],[Customer Gender]]="F","Female",orders[[#This Row],[Customer Gender]]="o","Others",TRUE,"Unknown")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 "Male",orders[[#This Row],[Customer Gender]]="F","Female",orders[[#This Row],[Customer Gender]]="o","Others",TRUE,"Unknown")</f>
        <v>Others</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 "Male",orders[[#This Row],[Customer Gender]]="F","Female",orders[[#This Row],[Customer Gender]]="o","Others",TRUE,"Unknown")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 "Male",orders[[#This Row],[Customer Gender]]="F","Female",orders[[#This Row],[Customer Gender]]="o","Others",TRUE,"Unknown")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 "Male",orders[[#This Row],[Customer Gender]]="F","Female",orders[[#This Row],[Customer Gender]]="o","Others",TRUE,"Unknown")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 "Male",orders[[#This Row],[Customer Gender]]="F","Female",orders[[#This Row],[Customer Gender]]="o","Others",TRUE,"Unknown")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 "Male",orders[[#This Row],[Customer Gender]]="F","Female",orders[[#This Row],[Customer Gender]]="o","Others",TRUE,"Unknown")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 "Male",orders[[#This Row],[Customer Gender]]="F","Female",orders[[#This Row],[Customer Gender]]="o","Others",TRUE,"Unknown")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 "Male",orders[[#This Row],[Customer Gender]]="F","Female",orders[[#This Row],[Customer Gender]]="o","Others",TRUE,"Unknown")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 "Male",orders[[#This Row],[Customer Gender]]="F","Female",orders[[#This Row],[Customer Gender]]="o","Others",TRUE,"Unknown")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 "Male",orders[[#This Row],[Customer Gender]]="F","Female",orders[[#This Row],[Customer Gender]]="o","Others",TRUE,"Unknown")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 "Male",orders[[#This Row],[Customer Gender]]="F","Female",orders[[#This Row],[Customer Gender]]="o","Others",TRUE,"Unknown")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 "Male",orders[[#This Row],[Customer Gender]]="F","Female",orders[[#This Row],[Customer Gender]]="o","Others",TRUE,"Unknown")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 "Male",orders[[#This Row],[Customer Gender]]="F","Female",orders[[#This Row],[Customer Gender]]="o","Others",TRUE,"Unknown")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 "Male",orders[[#This Row],[Customer Gender]]="F","Female",orders[[#This Row],[Customer Gender]]="o","Others",TRUE,"Unknown")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 "Male",orders[[#This Row],[Customer Gender]]="F","Female",orders[[#This Row],[Customer Gender]]="o","Others",TRUE,"Unknown")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 "Male",orders[[#This Row],[Customer Gender]]="F","Female",orders[[#This Row],[Customer Gender]]="o","Others",TRUE,"Unknown")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 "Male",orders[[#This Row],[Customer Gender]]="F","Female",orders[[#This Row],[Customer Gender]]="o","Others",TRUE,"Unknown")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 "Male",orders[[#This Row],[Customer Gender]]="F","Female",orders[[#This Row],[Customer Gender]]="o","Others",TRUE,"Unknown")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 "Male",orders[[#This Row],[Customer Gender]]="F","Female",orders[[#This Row],[Customer Gender]]="o","Others",TRUE,"Unknown")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 "Male",orders[[#This Row],[Customer Gender]]="F","Female",orders[[#This Row],[Customer Gender]]="o","Others",TRUE,"Unknown")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 "Male",orders[[#This Row],[Customer Gender]]="F","Female",orders[[#This Row],[Customer Gender]]="o","Others",TRUE,"Unknown")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 "Male",orders[[#This Row],[Customer Gender]]="F","Female",orders[[#This Row],[Customer Gender]]="o","Others",TRUE,"Unknown")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 "Male",orders[[#This Row],[Customer Gender]]="F","Female",orders[[#This Row],[Customer Gender]]="o","Others",TRUE,"Unknown")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 "Male",orders[[#This Row],[Customer Gender]]="F","Female",orders[[#This Row],[Customer Gender]]="o","Others",TRUE,"Unknown")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 "Male",orders[[#This Row],[Customer Gender]]="F","Female",orders[[#This Row],[Customer Gender]]="o","Others",TRUE,"Unknown")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 "Male",orders[[#This Row],[Customer Gender]]="F","Female",orders[[#This Row],[Customer Gender]]="o","Others",TRUE,"Unknown")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 "Male",orders[[#This Row],[Customer Gender]]="F","Female",orders[[#This Row],[Customer Gender]]="o","Others",TRUE,"Unknown")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 "Male",orders[[#This Row],[Customer Gender]]="F","Female",orders[[#This Row],[Customer Gender]]="o","Others",TRUE,"Unknown")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 "Male",orders[[#This Row],[Customer Gender]]="F","Female",orders[[#This Row],[Customer Gender]]="o","Others",TRUE,"Unknown")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 "Male",orders[[#This Row],[Customer Gender]]="F","Female",orders[[#This Row],[Customer Gender]]="o","Others",TRUE,"Unknown")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 "Male",orders[[#This Row],[Customer Gender]]="F","Female",orders[[#This Row],[Customer Gender]]="o","Others",TRUE,"Unknown")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 "Male",orders[[#This Row],[Customer Gender]]="F","Female",orders[[#This Row],[Customer Gender]]="o","Others",TRUE,"Unknown")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 "Male",orders[[#This Row],[Customer Gender]]="F","Female",orders[[#This Row],[Customer Gender]]="o","Others",TRUE,"Unknown")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 "Male",orders[[#This Row],[Customer Gender]]="F","Female",orders[[#This Row],[Customer Gender]]="o","Others",TRUE,"Unknown")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 "Male",orders[[#This Row],[Customer Gender]]="F","Female",orders[[#This Row],[Customer Gender]]="o","Others",TRUE,"Unknown")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 "Male",orders[[#This Row],[Customer Gender]]="F","Female",orders[[#This Row],[Customer Gender]]="o","Others",TRUE,"Unknown")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 "Male",orders[[#This Row],[Customer Gender]]="F","Female",orders[[#This Row],[Customer Gender]]="o","Others",TRUE,"Unknown")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 "Male",orders[[#This Row],[Customer Gender]]="F","Female",orders[[#This Row],[Customer Gender]]="o","Others",TRUE,"Unknown")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 "Male",orders[[#This Row],[Customer Gender]]="F","Female",orders[[#This Row],[Customer Gender]]="o","Others",TRUE,"Unknown")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 "Male",orders[[#This Row],[Customer Gender]]="F","Female",orders[[#This Row],[Customer Gender]]="o","Others",TRUE,"Unknown")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 "Male",orders[[#This Row],[Customer Gender]]="F","Female",orders[[#This Row],[Customer Gender]]="o","Others",TRUE,"Unknown")</f>
        <v>Others</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 "Male",orders[[#This Row],[Customer Gender]]="F","Female",orders[[#This Row],[Customer Gender]]="o","Others",TRUE,"Unknown")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 "Male",orders[[#This Row],[Customer Gender]]="F","Female",orders[[#This Row],[Customer Gender]]="o","Others",TRUE,"Unknown")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 "Male",orders[[#This Row],[Customer Gender]]="F","Female",orders[[#This Row],[Customer Gender]]="o","Others",TRUE,"Unknown")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 "Male",orders[[#This Row],[Customer Gender]]="F","Female",orders[[#This Row],[Customer Gender]]="o","Others",TRUE,"Unknown")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 "Male",orders[[#This Row],[Customer Gender]]="F","Female",orders[[#This Row],[Customer Gender]]="o","Others",TRUE,"Unknown")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 "Male",orders[[#This Row],[Customer Gender]]="F","Female",orders[[#This Row],[Customer Gender]]="o","Others",TRUE,"Unknown")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 "Male",orders[[#This Row],[Customer Gender]]="F","Female",orders[[#This Row],[Customer Gender]]="o","Others",TRUE,"Unknown")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 "Male",orders[[#This Row],[Customer Gender]]="F","Female",orders[[#This Row],[Customer Gender]]="o","Others",TRUE,"Unknown")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 "Male",orders[[#This Row],[Customer Gender]]="F","Female",orders[[#This Row],[Customer Gender]]="o","Others",TRUE,"Unknown")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 "Male",orders[[#This Row],[Customer Gender]]="F","Female",orders[[#This Row],[Customer Gender]]="o","Others",TRUE,"Unknown")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 "Male",orders[[#This Row],[Customer Gender]]="F","Female",orders[[#This Row],[Customer Gender]]="o","Others",TRUE,"Unknown")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 "Male",orders[[#This Row],[Customer Gender]]="F","Female",orders[[#This Row],[Customer Gender]]="o","Others",TRUE,"Unknown")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 "Male",orders[[#This Row],[Customer Gender]]="F","Female",orders[[#This Row],[Customer Gender]]="o","Others",TRUE,"Unknown")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 "Male",orders[[#This Row],[Customer Gender]]="F","Female",orders[[#This Row],[Customer Gender]]="o","Others",TRUE,"Unknown")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 "Male",orders[[#This Row],[Customer Gender]]="F","Female",orders[[#This Row],[Customer Gender]]="o","Others",TRUE,"Unknown")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 "Male",orders[[#This Row],[Customer Gender]]="F","Female",orders[[#This Row],[Customer Gender]]="o","Others",TRUE,"Unknown")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 "Male",orders[[#This Row],[Customer Gender]]="F","Female",orders[[#This Row],[Customer Gender]]="o","Others",TRUE,"Unknown")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 "Male",orders[[#This Row],[Customer Gender]]="F","Female",orders[[#This Row],[Customer Gender]]="o","Others",TRUE,"Unknown")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 "Male",orders[[#This Row],[Customer Gender]]="F","Female",orders[[#This Row],[Customer Gender]]="o","Others",TRUE,"Unknown")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 "Male",orders[[#This Row],[Customer Gender]]="F","Female",orders[[#This Row],[Customer Gender]]="o","Others",TRUE,"Unknown")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 "Male",orders[[#This Row],[Customer Gender]]="F","Female",orders[[#This Row],[Customer Gender]]="o","Others",TRUE,"Unknown")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 "Male",orders[[#This Row],[Customer Gender]]="F","Female",orders[[#This Row],[Customer Gender]]="o","Others",TRUE,"Unknown")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 "Male",orders[[#This Row],[Customer Gender]]="F","Female",orders[[#This Row],[Customer Gender]]="o","Others",TRUE,"Unknown")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 "Male",orders[[#This Row],[Customer Gender]]="F","Female",orders[[#This Row],[Customer Gender]]="o","Others",TRUE,"Unknown")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 "Male",orders[[#This Row],[Customer Gender]]="F","Female",orders[[#This Row],[Customer Gender]]="o","Others",TRUE,"Unknown")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 "Male",orders[[#This Row],[Customer Gender]]="F","Female",orders[[#This Row],[Customer Gender]]="o","Others",TRUE,"Unknown")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 "Male",orders[[#This Row],[Customer Gender]]="F","Female",orders[[#This Row],[Customer Gender]]="o","Others",TRUE,"Unknown")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 "Male",orders[[#This Row],[Customer Gender]]="F","Female",orders[[#This Row],[Customer Gender]]="o","Others",TRUE,"Unknown")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 "Male",orders[[#This Row],[Customer Gender]]="F","Female",orders[[#This Row],[Customer Gender]]="o","Others",TRUE,"Unknown")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 "Male",orders[[#This Row],[Customer Gender]]="F","Female",orders[[#This Row],[Customer Gender]]="o","Others",TRUE,"Unknown")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 "Male",orders[[#This Row],[Customer Gender]]="F","Female",orders[[#This Row],[Customer Gender]]="o","Others",TRUE,"Unknown")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 "Male",orders[[#This Row],[Customer Gender]]="F","Female",orders[[#This Row],[Customer Gender]]="o","Others",TRUE,"Unknown")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 "Male",orders[[#This Row],[Customer Gender]]="F","Female",orders[[#This Row],[Customer Gender]]="o","Others",TRUE,"Unknown")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 "Male",orders[[#This Row],[Customer Gender]]="F","Female",orders[[#This Row],[Customer Gender]]="o","Others",TRUE,"Unknown")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 "Male",orders[[#This Row],[Customer Gender]]="F","Female",orders[[#This Row],[Customer Gender]]="o","Others",TRUE,"Unknown")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 "Male",orders[[#This Row],[Customer Gender]]="F","Female",orders[[#This Row],[Customer Gender]]="o","Others",TRUE,"Unknown")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 "Male",orders[[#This Row],[Customer Gender]]="F","Female",orders[[#This Row],[Customer Gender]]="o","Others",TRUE,"Unknown")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 "Male",orders[[#This Row],[Customer Gender]]="F","Female",orders[[#This Row],[Customer Gender]]="o","Others",TRUE,"Unknown")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 "Male",orders[[#This Row],[Customer Gender]]="F","Female",orders[[#This Row],[Customer Gender]]="o","Others",TRUE,"Unknown")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 "Male",orders[[#This Row],[Customer Gender]]="F","Female",orders[[#This Row],[Customer Gender]]="o","Others",TRUE,"Unknown")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 "Male",orders[[#This Row],[Customer Gender]]="F","Female",orders[[#This Row],[Customer Gender]]="o","Others",TRUE,"Unknown")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 "Male",orders[[#This Row],[Customer Gender]]="F","Female",orders[[#This Row],[Customer Gender]]="o","Others",TRUE,"Unknown")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 "Male",orders[[#This Row],[Customer Gender]]="F","Female",orders[[#This Row],[Customer Gender]]="o","Others",TRUE,"Unknown")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 "Male",orders[[#This Row],[Customer Gender]]="F","Female",orders[[#This Row],[Customer Gender]]="o","Others",TRUE,"Unknown")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 "Male",orders[[#This Row],[Customer Gender]]="F","Female",orders[[#This Row],[Customer Gender]]="o","Others",TRUE,"Unknown")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 "Male",orders[[#This Row],[Customer Gender]]="F","Female",orders[[#This Row],[Customer Gender]]="o","Others",TRUE,"Unknown")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 "Male",orders[[#This Row],[Customer Gender]]="F","Female",orders[[#This Row],[Customer Gender]]="o","Others",TRUE,"Unknown")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 "Male",orders[[#This Row],[Customer Gender]]="F","Female",orders[[#This Row],[Customer Gender]]="o","Others",TRUE,"Unknown")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 "Male",orders[[#This Row],[Customer Gender]]="F","Female",orders[[#This Row],[Customer Gender]]="o","Others",TRUE,"Unknown")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 "Male",orders[[#This Row],[Customer Gender]]="F","Female",orders[[#This Row],[Customer Gender]]="o","Others",TRUE,"Unknown")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 "Male",orders[[#This Row],[Customer Gender]]="F","Female",orders[[#This Row],[Customer Gender]]="o","Others",TRUE,"Unknown")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 "Male",orders[[#This Row],[Customer Gender]]="F","Female",orders[[#This Row],[Customer Gender]]="o","Others",TRUE,"Unknown")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 "Male",orders[[#This Row],[Customer Gender]]="F","Female",orders[[#This Row],[Customer Gender]]="o","Others",TRUE,"Unknown")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 "Male",orders[[#This Row],[Customer Gender]]="F","Female",orders[[#This Row],[Customer Gender]]="o","Others",TRUE,"Unknown")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 "Male",orders[[#This Row],[Customer Gender]]="F","Female",orders[[#This Row],[Customer Gender]]="o","Others",TRUE,"Unknown")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 "Male",orders[[#This Row],[Customer Gender]]="F","Female",orders[[#This Row],[Customer Gender]]="o","Others",TRUE,"Unknown")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 "Male",orders[[#This Row],[Customer Gender]]="F","Female",orders[[#This Row],[Customer Gender]]="o","Others",TRUE,"Unknown")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 "Male",orders[[#This Row],[Customer Gender]]="F","Female",orders[[#This Row],[Customer Gender]]="o","Others",TRUE,"Unknown")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 "Male",orders[[#This Row],[Customer Gender]]="F","Female",orders[[#This Row],[Customer Gender]]="o","Others",TRUE,"Unknown")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 "Male",orders[[#This Row],[Customer Gender]]="F","Female",orders[[#This Row],[Customer Gender]]="o","Others",TRUE,"Unknown")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 "Male",orders[[#This Row],[Customer Gender]]="F","Female",orders[[#This Row],[Customer Gender]]="o","Others",TRUE,"Unknown")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 "Male",orders[[#This Row],[Customer Gender]]="F","Female",orders[[#This Row],[Customer Gender]]="o","Others",TRUE,"Unknown")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 "Male",orders[[#This Row],[Customer Gender]]="F","Female",orders[[#This Row],[Customer Gender]]="o","Others",TRUE,"Unknown")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 "Male",orders[[#This Row],[Customer Gender]]="F","Female",orders[[#This Row],[Customer Gender]]="o","Others",TRUE,"Unknown")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 "Male",orders[[#This Row],[Customer Gender]]="F","Female",orders[[#This Row],[Customer Gender]]="o","Others",TRUE,"Unknown")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 "Male",orders[[#This Row],[Customer Gender]]="F","Female",orders[[#This Row],[Customer Gender]]="o","Others",TRUE,"Unknown")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 "Male",orders[[#This Row],[Customer Gender]]="F","Female",orders[[#This Row],[Customer Gender]]="o","Others",TRUE,"Unknown")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 "Male",orders[[#This Row],[Customer Gender]]="F","Female",orders[[#This Row],[Customer Gender]]="o","Others",TRUE,"Unknown")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 "Male",orders[[#This Row],[Customer Gender]]="F","Female",orders[[#This Row],[Customer Gender]]="o","Others",TRUE,"Unknown")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 "Male",orders[[#This Row],[Customer Gender]]="F","Female",orders[[#This Row],[Customer Gender]]="o","Others",TRUE,"Unknown")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 "Male",orders[[#This Row],[Customer Gender]]="F","Female",orders[[#This Row],[Customer Gender]]="o","Others",TRUE,"Unknown")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 "Male",orders[[#This Row],[Customer Gender]]="F","Female",orders[[#This Row],[Customer Gender]]="o","Others",TRUE,"Unknown")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 "Male",orders[[#This Row],[Customer Gender]]="F","Female",orders[[#This Row],[Customer Gender]]="o","Others",TRUE,"Unknown")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 "Male",orders[[#This Row],[Customer Gender]]="F","Female",orders[[#This Row],[Customer Gender]]="o","Others",TRUE,"Unknown")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 "Male",orders[[#This Row],[Customer Gender]]="F","Female",orders[[#This Row],[Customer Gender]]="o","Others",TRUE,"Unknown")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 "Male",orders[[#This Row],[Customer Gender]]="F","Female",orders[[#This Row],[Customer Gender]]="o","Others",TRUE,"Unknown")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 "Male",orders[[#This Row],[Customer Gender]]="F","Female",orders[[#This Row],[Customer Gender]]="o","Others",TRUE,"Unknown")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 "Male",orders[[#This Row],[Customer Gender]]="F","Female",orders[[#This Row],[Customer Gender]]="o","Others",TRUE,"Unknown")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 "Male",orders[[#This Row],[Customer Gender]]="F","Female",orders[[#This Row],[Customer Gender]]="o","Others",TRUE,"Unknown")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 "Male",orders[[#This Row],[Customer Gender]]="F","Female",orders[[#This Row],[Customer Gender]]="o","Others",TRUE,"Unknown")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 "Male",orders[[#This Row],[Customer Gender]]="F","Female",orders[[#This Row],[Customer Gender]]="o","Others",TRUE,"Unknown")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 "Male",orders[[#This Row],[Customer Gender]]="F","Female",orders[[#This Row],[Customer Gender]]="o","Others",TRUE,"Unknown")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 "Male",orders[[#This Row],[Customer Gender]]="F","Female",orders[[#This Row],[Customer Gender]]="o","Others",TRUE,"Unknown")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 "Male",orders[[#This Row],[Customer Gender]]="F","Female",orders[[#This Row],[Customer Gender]]="o","Others",TRUE,"Unknown")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 "Male",orders[[#This Row],[Customer Gender]]="F","Female",orders[[#This Row],[Customer Gender]]="o","Others",TRUE,"Unknown")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 "Male",orders[[#This Row],[Customer Gender]]="F","Female",orders[[#This Row],[Customer Gender]]="o","Others",TRUE,"Unknown")</f>
        <v>Others</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 "Male",orders[[#This Row],[Customer Gender]]="F","Female",orders[[#This Row],[Customer Gender]]="o","Others",TRUE,"Unknown")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 "Male",orders[[#This Row],[Customer Gender]]="F","Female",orders[[#This Row],[Customer Gender]]="o","Others",TRUE,"Unknown")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 "Male",orders[[#This Row],[Customer Gender]]="F","Female",orders[[#This Row],[Customer Gender]]="o","Others",TRUE,"Unknown")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 "Male",orders[[#This Row],[Customer Gender]]="F","Female",orders[[#This Row],[Customer Gender]]="o","Others",TRUE,"Unknown")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 "Male",orders[[#This Row],[Customer Gender]]="F","Female",orders[[#This Row],[Customer Gender]]="o","Others",TRUE,"Unknown")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 "Male",orders[[#This Row],[Customer Gender]]="F","Female",orders[[#This Row],[Customer Gender]]="o","Others",TRUE,"Unknown")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 "Male",orders[[#This Row],[Customer Gender]]="F","Female",orders[[#This Row],[Customer Gender]]="o","Others",TRUE,"Unknown")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 "Male",orders[[#This Row],[Customer Gender]]="F","Female",orders[[#This Row],[Customer Gender]]="o","Others",TRUE,"Unknown")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 "Male",orders[[#This Row],[Customer Gender]]="F","Female",orders[[#This Row],[Customer Gender]]="o","Others",TRUE,"Unknown")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 "Male",orders[[#This Row],[Customer Gender]]="F","Female",orders[[#This Row],[Customer Gender]]="o","Others",TRUE,"Unknown")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 "Male",orders[[#This Row],[Customer Gender]]="F","Female",orders[[#This Row],[Customer Gender]]="o","Others",TRUE,"Unknown")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 "Male",orders[[#This Row],[Customer Gender]]="F","Female",orders[[#This Row],[Customer Gender]]="o","Others",TRUE,"Unknown")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 "Male",orders[[#This Row],[Customer Gender]]="F","Female",orders[[#This Row],[Customer Gender]]="o","Others",TRUE,"Unknown")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 "Male",orders[[#This Row],[Customer Gender]]="F","Female",orders[[#This Row],[Customer Gender]]="o","Others",TRUE,"Unknown")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 "Male",orders[[#This Row],[Customer Gender]]="F","Female",orders[[#This Row],[Customer Gender]]="o","Others",TRUE,"Unknown")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 "Male",orders[[#This Row],[Customer Gender]]="F","Female",orders[[#This Row],[Customer Gender]]="o","Others",TRUE,"Unknown")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 "Male",orders[[#This Row],[Customer Gender]]="F","Female",orders[[#This Row],[Customer Gender]]="o","Others",TRUE,"Unknown")</f>
        <v>Others</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 "Male",orders[[#This Row],[Customer Gender]]="F","Female",orders[[#This Row],[Customer Gender]]="o","Others",TRUE,"Unknown")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 "Male",orders[[#This Row],[Customer Gender]]="F","Female",orders[[#This Row],[Customer Gender]]="o","Others",TRUE,"Unknown")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 "Male",orders[[#This Row],[Customer Gender]]="F","Female",orders[[#This Row],[Customer Gender]]="o","Others",TRUE,"Unknown")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 "Male",orders[[#This Row],[Customer Gender]]="F","Female",orders[[#This Row],[Customer Gender]]="o","Others",TRUE,"Unknown")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 "Male",orders[[#This Row],[Customer Gender]]="F","Female",orders[[#This Row],[Customer Gender]]="o","Others",TRUE,"Unknown")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 "Male",orders[[#This Row],[Customer Gender]]="F","Female",orders[[#This Row],[Customer Gender]]="o","Others",TRUE,"Unknown")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 "Male",orders[[#This Row],[Customer Gender]]="F","Female",orders[[#This Row],[Customer Gender]]="o","Others",TRUE,"Unknown")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 "Male",orders[[#This Row],[Customer Gender]]="F","Female",orders[[#This Row],[Customer Gender]]="o","Others",TRUE,"Unknown")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 "Male",orders[[#This Row],[Customer Gender]]="F","Female",orders[[#This Row],[Customer Gender]]="o","Others",TRUE,"Unknown")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 "Male",orders[[#This Row],[Customer Gender]]="F","Female",orders[[#This Row],[Customer Gender]]="o","Others",TRUE,"Unknown")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 "Male",orders[[#This Row],[Customer Gender]]="F","Female",orders[[#This Row],[Customer Gender]]="o","Others",TRUE,"Unknown")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 "Male",orders[[#This Row],[Customer Gender]]="F","Female",orders[[#This Row],[Customer Gender]]="o","Others",TRUE,"Unknown")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 "Male",orders[[#This Row],[Customer Gender]]="F","Female",orders[[#This Row],[Customer Gender]]="o","Others",TRUE,"Unknown")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 "Male",orders[[#This Row],[Customer Gender]]="F","Female",orders[[#This Row],[Customer Gender]]="o","Others",TRUE,"Unknown")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 "Male",orders[[#This Row],[Customer Gender]]="F","Female",orders[[#This Row],[Customer Gender]]="o","Others",TRUE,"Unknown")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 "Male",orders[[#This Row],[Customer Gender]]="F","Female",orders[[#This Row],[Customer Gender]]="o","Others",TRUE,"Unknown")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 "Male",orders[[#This Row],[Customer Gender]]="F","Female",orders[[#This Row],[Customer Gender]]="o","Others",TRUE,"Unknown")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 "Male",orders[[#This Row],[Customer Gender]]="F","Female",orders[[#This Row],[Customer Gender]]="o","Others",TRUE,"Unknown")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 "Male",orders[[#This Row],[Customer Gender]]="F","Female",orders[[#This Row],[Customer Gender]]="o","Others",TRUE,"Unknown")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 "Male",orders[[#This Row],[Customer Gender]]="F","Female",orders[[#This Row],[Customer Gender]]="o","Others",TRUE,"Unknown")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 "Male",orders[[#This Row],[Customer Gender]]="F","Female",orders[[#This Row],[Customer Gender]]="o","Others",TRUE,"Unknown")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 "Male",orders[[#This Row],[Customer Gender]]="F","Female",orders[[#This Row],[Customer Gender]]="o","Others",TRUE,"Unknown")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 "Male",orders[[#This Row],[Customer Gender]]="F","Female",orders[[#This Row],[Customer Gender]]="o","Others",TRUE,"Unknown")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 "Male",orders[[#This Row],[Customer Gender]]="F","Female",orders[[#This Row],[Customer Gender]]="o","Others",TRUE,"Unknown")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 "Male",orders[[#This Row],[Customer Gender]]="F","Female",orders[[#This Row],[Customer Gender]]="o","Others",TRUE,"Unknown")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 "Male",orders[[#This Row],[Customer Gender]]="F","Female",orders[[#This Row],[Customer Gender]]="o","Others",TRUE,"Unknown")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 "Male",orders[[#This Row],[Customer Gender]]="F","Female",orders[[#This Row],[Customer Gender]]="o","Others",TRUE,"Unknown")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 "Male",orders[[#This Row],[Customer Gender]]="F","Female",orders[[#This Row],[Customer Gender]]="o","Others",TRUE,"Unknown")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 "Male",orders[[#This Row],[Customer Gender]]="F","Female",orders[[#This Row],[Customer Gender]]="o","Others",TRUE,"Unknown")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 "Male",orders[[#This Row],[Customer Gender]]="F","Female",orders[[#This Row],[Customer Gender]]="o","Others",TRUE,"Unknown")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 "Male",orders[[#This Row],[Customer Gender]]="F","Female",orders[[#This Row],[Customer Gender]]="o","Others",TRUE,"Unknown")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 "Male",orders[[#This Row],[Customer Gender]]="F","Female",orders[[#This Row],[Customer Gender]]="o","Others",TRUE,"Unknown")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 "Male",orders[[#This Row],[Customer Gender]]="F","Female",orders[[#This Row],[Customer Gender]]="o","Others",TRUE,"Unknown")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 "Male",orders[[#This Row],[Customer Gender]]="F","Female",orders[[#This Row],[Customer Gender]]="o","Others",TRUE,"Unknown")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 "Male",orders[[#This Row],[Customer Gender]]="F","Female",orders[[#This Row],[Customer Gender]]="o","Others",TRUE,"Unknown")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 "Male",orders[[#This Row],[Customer Gender]]="F","Female",orders[[#This Row],[Customer Gender]]="o","Others",TRUE,"Unknown")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 "Male",orders[[#This Row],[Customer Gender]]="F","Female",orders[[#This Row],[Customer Gender]]="o","Others",TRUE,"Unknown")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 "Male",orders[[#This Row],[Customer Gender]]="F","Female",orders[[#This Row],[Customer Gender]]="o","Others",TRUE,"Unknown")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 "Male",orders[[#This Row],[Customer Gender]]="F","Female",orders[[#This Row],[Customer Gender]]="o","Others",TRUE,"Unknown")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 "Male",orders[[#This Row],[Customer Gender]]="F","Female",orders[[#This Row],[Customer Gender]]="o","Others",TRUE,"Unknown")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 "Male",orders[[#This Row],[Customer Gender]]="F","Female",orders[[#This Row],[Customer Gender]]="o","Others",TRUE,"Unknown")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 "Male",orders[[#This Row],[Customer Gender]]="F","Female",orders[[#This Row],[Customer Gender]]="o","Others",TRUE,"Unknown")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 "Male",orders[[#This Row],[Customer Gender]]="F","Female",orders[[#This Row],[Customer Gender]]="o","Others",TRUE,"Unknown")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 "Male",orders[[#This Row],[Customer Gender]]="F","Female",orders[[#This Row],[Customer Gender]]="o","Others",TRUE,"Unknown")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 "Male",orders[[#This Row],[Customer Gender]]="F","Female",orders[[#This Row],[Customer Gender]]="o","Others",TRUE,"Unknown")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 "Male",orders[[#This Row],[Customer Gender]]="F","Female",orders[[#This Row],[Customer Gender]]="o","Others",TRUE,"Unknown")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 "Male",orders[[#This Row],[Customer Gender]]="F","Female",orders[[#This Row],[Customer Gender]]="o","Others",TRUE,"Unknown")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 "Male",orders[[#This Row],[Customer Gender]]="F","Female",orders[[#This Row],[Customer Gender]]="o","Others",TRUE,"Unknown")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 "Male",orders[[#This Row],[Customer Gender]]="F","Female",orders[[#This Row],[Customer Gender]]="o","Others",TRUE,"Unknown")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 "Male",orders[[#This Row],[Customer Gender]]="F","Female",orders[[#This Row],[Customer Gender]]="o","Others",TRUE,"Unknown")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 "Male",orders[[#This Row],[Customer Gender]]="F","Female",orders[[#This Row],[Customer Gender]]="o","Others",TRUE,"Unknown")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 "Male",orders[[#This Row],[Customer Gender]]="F","Female",orders[[#This Row],[Customer Gender]]="o","Others",TRUE,"Unknown")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 "Male",orders[[#This Row],[Customer Gender]]="F","Female",orders[[#This Row],[Customer Gender]]="o","Others",TRUE,"Unknown")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 "Male",orders[[#This Row],[Customer Gender]]="F","Female",orders[[#This Row],[Customer Gender]]="o","Others",TRUE,"Unknown")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 "Male",orders[[#This Row],[Customer Gender]]="F","Female",orders[[#This Row],[Customer Gender]]="o","Others",TRUE,"Unknown")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 "Male",orders[[#This Row],[Customer Gender]]="F","Female",orders[[#This Row],[Customer Gender]]="o","Others",TRUE,"Unknown")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 "Male",orders[[#This Row],[Customer Gender]]="F","Female",orders[[#This Row],[Customer Gender]]="o","Others",TRUE,"Unknown")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 "Male",orders[[#This Row],[Customer Gender]]="F","Female",orders[[#This Row],[Customer Gender]]="o","Others",TRUE,"Unknown")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 "Male",orders[[#This Row],[Customer Gender]]="F","Female",orders[[#This Row],[Customer Gender]]="o","Others",TRUE,"Unknown")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 "Male",orders[[#This Row],[Customer Gender]]="F","Female",orders[[#This Row],[Customer Gender]]="o","Others",TRUE,"Unknown")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 "Male",orders[[#This Row],[Customer Gender]]="F","Female",orders[[#This Row],[Customer Gender]]="o","Others",TRUE,"Unknown")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 "Male",orders[[#This Row],[Customer Gender]]="F","Female",orders[[#This Row],[Customer Gender]]="o","Others",TRUE,"Unknown")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 "Male",orders[[#This Row],[Customer Gender]]="F","Female",orders[[#This Row],[Customer Gender]]="o","Others",TRUE,"Unknown")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 "Male",orders[[#This Row],[Customer Gender]]="F","Female",orders[[#This Row],[Customer Gender]]="o","Others",TRUE,"Unknown")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 "Male",orders[[#This Row],[Customer Gender]]="F","Female",orders[[#This Row],[Customer Gender]]="o","Others",TRUE,"Unknown")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 "Male",orders[[#This Row],[Customer Gender]]="F","Female",orders[[#This Row],[Customer Gender]]="o","Others",TRUE,"Unknown")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 "Male",orders[[#This Row],[Customer Gender]]="F","Female",orders[[#This Row],[Customer Gender]]="o","Others",TRUE,"Unknown")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 "Male",orders[[#This Row],[Customer Gender]]="F","Female",orders[[#This Row],[Customer Gender]]="o","Others",TRUE,"Unknown")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 "Male",orders[[#This Row],[Customer Gender]]="F","Female",orders[[#This Row],[Customer Gender]]="o","Others",TRUE,"Unknown")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 "Male",orders[[#This Row],[Customer Gender]]="F","Female",orders[[#This Row],[Customer Gender]]="o","Others",TRUE,"Unknown")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 "Male",orders[[#This Row],[Customer Gender]]="F","Female",orders[[#This Row],[Customer Gender]]="o","Others",TRUE,"Unknown")</f>
        <v>Others</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 "Male",orders[[#This Row],[Customer Gender]]="F","Female",orders[[#This Row],[Customer Gender]]="o","Others",TRUE,"Unknown")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 "Male",orders[[#This Row],[Customer Gender]]="F","Female",orders[[#This Row],[Customer Gender]]="o","Others",TRUE,"Unknown")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 "Male",orders[[#This Row],[Customer Gender]]="F","Female",orders[[#This Row],[Customer Gender]]="o","Others",TRUE,"Unknown")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 "Male",orders[[#This Row],[Customer Gender]]="F","Female",orders[[#This Row],[Customer Gender]]="o","Others",TRUE,"Unknown")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 "Male",orders[[#This Row],[Customer Gender]]="F","Female",orders[[#This Row],[Customer Gender]]="o","Others",TRUE,"Unknown")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 "Male",orders[[#This Row],[Customer Gender]]="F","Female",orders[[#This Row],[Customer Gender]]="o","Others",TRUE,"Unknown")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 "Male",orders[[#This Row],[Customer Gender]]="F","Female",orders[[#This Row],[Customer Gender]]="o","Others",TRUE,"Unknown")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 "Male",orders[[#This Row],[Customer Gender]]="F","Female",orders[[#This Row],[Customer Gender]]="o","Others",TRUE,"Unknown")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 "Male",orders[[#This Row],[Customer Gender]]="F","Female",orders[[#This Row],[Customer Gender]]="o","Others",TRUE,"Unknown")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 "Male",orders[[#This Row],[Customer Gender]]="F","Female",orders[[#This Row],[Customer Gender]]="o","Others",TRUE,"Unknown")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 "Male",orders[[#This Row],[Customer Gender]]="F","Female",orders[[#This Row],[Customer Gender]]="o","Others",TRUE,"Unknown")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 "Male",orders[[#This Row],[Customer Gender]]="F","Female",orders[[#This Row],[Customer Gender]]="o","Others",TRUE,"Unknown")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 "Male",orders[[#This Row],[Customer Gender]]="F","Female",orders[[#This Row],[Customer Gender]]="o","Others",TRUE,"Unknown")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 "Male",orders[[#This Row],[Customer Gender]]="F","Female",orders[[#This Row],[Customer Gender]]="o","Others",TRUE,"Unknown")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 "Male",orders[[#This Row],[Customer Gender]]="F","Female",orders[[#This Row],[Customer Gender]]="o","Others",TRUE,"Unknown")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 "Male",orders[[#This Row],[Customer Gender]]="F","Female",orders[[#This Row],[Customer Gender]]="o","Others",TRUE,"Unknown")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 "Male",orders[[#This Row],[Customer Gender]]="F","Female",orders[[#This Row],[Customer Gender]]="o","Others",TRUE,"Unknown")</f>
        <v>Others</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 "Male",orders[[#This Row],[Customer Gender]]="F","Female",orders[[#This Row],[Customer Gender]]="o","Others",TRUE,"Unknown")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 "Male",orders[[#This Row],[Customer Gender]]="F","Female",orders[[#This Row],[Customer Gender]]="o","Others",TRUE,"Unknown")</f>
        <v>Others</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 "Male",orders[[#This Row],[Customer Gender]]="F","Female",orders[[#This Row],[Customer Gender]]="o","Others",TRUE,"Unknown")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 "Male",orders[[#This Row],[Customer Gender]]="F","Female",orders[[#This Row],[Customer Gender]]="o","Others",TRUE,"Unknown")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 "Male",orders[[#This Row],[Customer Gender]]="F","Female",orders[[#This Row],[Customer Gender]]="o","Others",TRUE,"Unknown")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 "Male",orders[[#This Row],[Customer Gender]]="F","Female",orders[[#This Row],[Customer Gender]]="o","Others",TRUE,"Unknown")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 "Male",orders[[#This Row],[Customer Gender]]="F","Female",orders[[#This Row],[Customer Gender]]="o","Others",TRUE,"Unknown")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 "Male",orders[[#This Row],[Customer Gender]]="F","Female",orders[[#This Row],[Customer Gender]]="o","Others",TRUE,"Unknown")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 "Male",orders[[#This Row],[Customer Gender]]="F","Female",orders[[#This Row],[Customer Gender]]="o","Others",TRUE,"Unknown")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 "Male",orders[[#This Row],[Customer Gender]]="F","Female",orders[[#This Row],[Customer Gender]]="o","Others",TRUE,"Unknown")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 "Male",orders[[#This Row],[Customer Gender]]="F","Female",orders[[#This Row],[Customer Gender]]="o","Others",TRUE,"Unknown")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 "Male",orders[[#This Row],[Customer Gender]]="F","Female",orders[[#This Row],[Customer Gender]]="o","Others",TRUE,"Unknown")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 "Male",orders[[#This Row],[Customer Gender]]="F","Female",orders[[#This Row],[Customer Gender]]="o","Others",TRUE,"Unknown")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 "Male",orders[[#This Row],[Customer Gender]]="F","Female",orders[[#This Row],[Customer Gender]]="o","Others",TRUE,"Unknown")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 "Male",orders[[#This Row],[Customer Gender]]="F","Female",orders[[#This Row],[Customer Gender]]="o","Others",TRUE,"Unknown")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 "Male",orders[[#This Row],[Customer Gender]]="F","Female",orders[[#This Row],[Customer Gender]]="o","Others",TRUE,"Unknown")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 "Male",orders[[#This Row],[Customer Gender]]="F","Female",orders[[#This Row],[Customer Gender]]="o","Others",TRUE,"Unknown")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 "Male",orders[[#This Row],[Customer Gender]]="F","Female",orders[[#This Row],[Customer Gender]]="o","Others",TRUE,"Unknown")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 "Male",orders[[#This Row],[Customer Gender]]="F","Female",orders[[#This Row],[Customer Gender]]="o","Others",TRUE,"Unknown")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 "Male",orders[[#This Row],[Customer Gender]]="F","Female",orders[[#This Row],[Customer Gender]]="o","Others",TRUE,"Unknown")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 "Male",orders[[#This Row],[Customer Gender]]="F","Female",orders[[#This Row],[Customer Gender]]="o","Others",TRUE,"Unknown")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 "Male",orders[[#This Row],[Customer Gender]]="F","Female",orders[[#This Row],[Customer Gender]]="o","Others",TRUE,"Unknown")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 "Male",orders[[#This Row],[Customer Gender]]="F","Female",orders[[#This Row],[Customer Gender]]="o","Others",TRUE,"Unknown")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 "Male",orders[[#This Row],[Customer Gender]]="F","Female",orders[[#This Row],[Customer Gender]]="o","Others",TRUE,"Unknown")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 "Male",orders[[#This Row],[Customer Gender]]="F","Female",orders[[#This Row],[Customer Gender]]="o","Others",TRUE,"Unknown")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 "Male",orders[[#This Row],[Customer Gender]]="F","Female",orders[[#This Row],[Customer Gender]]="o","Others",TRUE,"Unknown")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 "Male",orders[[#This Row],[Customer Gender]]="F","Female",orders[[#This Row],[Customer Gender]]="o","Others",TRUE,"Unknown")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 "Male",orders[[#This Row],[Customer Gender]]="F","Female",orders[[#This Row],[Customer Gender]]="o","Others",TRUE,"Unknown")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 "Male",orders[[#This Row],[Customer Gender]]="F","Female",orders[[#This Row],[Customer Gender]]="o","Others",TRUE,"Unknown")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 "Male",orders[[#This Row],[Customer Gender]]="F","Female",orders[[#This Row],[Customer Gender]]="o","Others",TRUE,"Unknown")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 "Male",orders[[#This Row],[Customer Gender]]="F","Female",orders[[#This Row],[Customer Gender]]="o","Others",TRUE,"Unknown")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 "Male",orders[[#This Row],[Customer Gender]]="F","Female",orders[[#This Row],[Customer Gender]]="o","Others",TRUE,"Unknown")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 "Male",orders[[#This Row],[Customer Gender]]="F","Female",orders[[#This Row],[Customer Gender]]="o","Others",TRUE,"Unknown")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 "Male",orders[[#This Row],[Customer Gender]]="F","Female",orders[[#This Row],[Customer Gender]]="o","Others",TRUE,"Unknown")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 "Male",orders[[#This Row],[Customer Gender]]="F","Female",orders[[#This Row],[Customer Gender]]="o","Others",TRUE,"Unknown")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 "Male",orders[[#This Row],[Customer Gender]]="F","Female",orders[[#This Row],[Customer Gender]]="o","Others",TRUE,"Unknown")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 "Male",orders[[#This Row],[Customer Gender]]="F","Female",orders[[#This Row],[Customer Gender]]="o","Others",TRUE,"Unknown")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 "Male",orders[[#This Row],[Customer Gender]]="F","Female",orders[[#This Row],[Customer Gender]]="o","Others",TRUE,"Unknown")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 "Male",orders[[#This Row],[Customer Gender]]="F","Female",orders[[#This Row],[Customer Gender]]="o","Others",TRUE,"Unknown")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 "Male",orders[[#This Row],[Customer Gender]]="F","Female",orders[[#This Row],[Customer Gender]]="o","Others",TRUE,"Unknown")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 "Male",orders[[#This Row],[Customer Gender]]="F","Female",orders[[#This Row],[Customer Gender]]="o","Others",TRUE,"Unknown")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 "Male",orders[[#This Row],[Customer Gender]]="F","Female",orders[[#This Row],[Customer Gender]]="o","Others",TRUE,"Unknown")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 "Male",orders[[#This Row],[Customer Gender]]="F","Female",orders[[#This Row],[Customer Gender]]="o","Others",TRUE,"Unknown")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 "Male",orders[[#This Row],[Customer Gender]]="F","Female",orders[[#This Row],[Customer Gender]]="o","Others",TRUE,"Unknown")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 "Male",orders[[#This Row],[Customer Gender]]="F","Female",orders[[#This Row],[Customer Gender]]="o","Others",TRUE,"Unknown")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 "Male",orders[[#This Row],[Customer Gender]]="F","Female",orders[[#This Row],[Customer Gender]]="o","Others",TRUE,"Unknown")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 "Male",orders[[#This Row],[Customer Gender]]="F","Female",orders[[#This Row],[Customer Gender]]="o","Others",TRUE,"Unknown")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 "Male",orders[[#This Row],[Customer Gender]]="F","Female",orders[[#This Row],[Customer Gender]]="o","Others",TRUE,"Unknown")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 "Male",orders[[#This Row],[Customer Gender]]="F","Female",orders[[#This Row],[Customer Gender]]="o","Others",TRUE,"Unknown")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 "Male",orders[[#This Row],[Customer Gender]]="F","Female",orders[[#This Row],[Customer Gender]]="o","Others",TRUE,"Unknown")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 "Male",orders[[#This Row],[Customer Gender]]="F","Female",orders[[#This Row],[Customer Gender]]="o","Others",TRUE,"Unknown")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 "Male",orders[[#This Row],[Customer Gender]]="F","Female",orders[[#This Row],[Customer Gender]]="o","Others",TRUE,"Unknown")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 "Male",orders[[#This Row],[Customer Gender]]="F","Female",orders[[#This Row],[Customer Gender]]="o","Others",TRUE,"Unknown")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 "Male",orders[[#This Row],[Customer Gender]]="F","Female",orders[[#This Row],[Customer Gender]]="o","Others",TRUE,"Unknown")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 "Male",orders[[#This Row],[Customer Gender]]="F","Female",orders[[#This Row],[Customer Gender]]="o","Others",TRUE,"Unknown")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 "Male",orders[[#This Row],[Customer Gender]]="F","Female",orders[[#This Row],[Customer Gender]]="o","Others",TRUE,"Unknown")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 "Male",orders[[#This Row],[Customer Gender]]="F","Female",orders[[#This Row],[Customer Gender]]="o","Others",TRUE,"Unknown")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 "Male",orders[[#This Row],[Customer Gender]]="F","Female",orders[[#This Row],[Customer Gender]]="o","Others",TRUE,"Unknown")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 "Male",orders[[#This Row],[Customer Gender]]="F","Female",orders[[#This Row],[Customer Gender]]="o","Others",TRUE,"Unknown")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 "Male",orders[[#This Row],[Customer Gender]]="F","Female",orders[[#This Row],[Customer Gender]]="o","Others",TRUE,"Unknown")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 "Male",orders[[#This Row],[Customer Gender]]="F","Female",orders[[#This Row],[Customer Gender]]="o","Others",TRUE,"Unknown")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 "Male",orders[[#This Row],[Customer Gender]]="F","Female",orders[[#This Row],[Customer Gender]]="o","Others",TRUE,"Unknown")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 "Male",orders[[#This Row],[Customer Gender]]="F","Female",orders[[#This Row],[Customer Gender]]="o","Others",TRUE,"Unknown")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 "Male",orders[[#This Row],[Customer Gender]]="F","Female",orders[[#This Row],[Customer Gender]]="o","Others",TRUE,"Unknown")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 "Male",orders[[#This Row],[Customer Gender]]="F","Female",orders[[#This Row],[Customer Gender]]="o","Others",TRUE,"Unknown")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 "Male",orders[[#This Row],[Customer Gender]]="F","Female",orders[[#This Row],[Customer Gender]]="o","Others",TRUE,"Unknown")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 "Male",orders[[#This Row],[Customer Gender]]="F","Female",orders[[#This Row],[Customer Gender]]="o","Others",TRUE,"Unknown")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 "Male",orders[[#This Row],[Customer Gender]]="F","Female",orders[[#This Row],[Customer Gender]]="o","Others",TRUE,"Unknown")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 "Male",orders[[#This Row],[Customer Gender]]="F","Female",orders[[#This Row],[Customer Gender]]="o","Others",TRUE,"Unknown")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 "Male",orders[[#This Row],[Customer Gender]]="F","Female",orders[[#This Row],[Customer Gender]]="o","Others",TRUE,"Unknown")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 "Male",orders[[#This Row],[Customer Gender]]="F","Female",orders[[#This Row],[Customer Gender]]="o","Others",TRUE,"Unknown")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 "Male",orders[[#This Row],[Customer Gender]]="F","Female",orders[[#This Row],[Customer Gender]]="o","Others",TRUE,"Unknown")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 "Male",orders[[#This Row],[Customer Gender]]="F","Female",orders[[#This Row],[Customer Gender]]="o","Others",TRUE,"Unknown")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 "Male",orders[[#This Row],[Customer Gender]]="F","Female",orders[[#This Row],[Customer Gender]]="o","Others",TRUE,"Unknown")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 "Male",orders[[#This Row],[Customer Gender]]="F","Female",orders[[#This Row],[Customer Gender]]="o","Others",TRUE,"Unknown")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 "Male",orders[[#This Row],[Customer Gender]]="F","Female",orders[[#This Row],[Customer Gender]]="o","Others",TRUE,"Unknown")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 "Male",orders[[#This Row],[Customer Gender]]="F","Female",orders[[#This Row],[Customer Gender]]="o","Others",TRUE,"Unknown")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 "Male",orders[[#This Row],[Customer Gender]]="F","Female",orders[[#This Row],[Customer Gender]]="o","Others",TRUE,"Unknown")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 "Male",orders[[#This Row],[Customer Gender]]="F","Female",orders[[#This Row],[Customer Gender]]="o","Others",TRUE,"Unknown")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 "Male",orders[[#This Row],[Customer Gender]]="F","Female",orders[[#This Row],[Customer Gender]]="o","Others",TRUE,"Unknown")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 "Male",orders[[#This Row],[Customer Gender]]="F","Female",orders[[#This Row],[Customer Gender]]="o","Others",TRUE,"Unknown")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 "Male",orders[[#This Row],[Customer Gender]]="F","Female",orders[[#This Row],[Customer Gender]]="o","Others",TRUE,"Unknown")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 "Male",orders[[#This Row],[Customer Gender]]="F","Female",orders[[#This Row],[Customer Gender]]="o","Others",TRUE,"Unknown")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 "Male",orders[[#This Row],[Customer Gender]]="F","Female",orders[[#This Row],[Customer Gender]]="o","Others",TRUE,"Unknown")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 "Male",orders[[#This Row],[Customer Gender]]="F","Female",orders[[#This Row],[Customer Gender]]="o","Others",TRUE,"Unknown")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 "Male",orders[[#This Row],[Customer Gender]]="F","Female",orders[[#This Row],[Customer Gender]]="o","Others",TRUE,"Unknown")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 "Male",orders[[#This Row],[Customer Gender]]="F","Female",orders[[#This Row],[Customer Gender]]="o","Others",TRUE,"Unknown")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 "Male",orders[[#This Row],[Customer Gender]]="F","Female",orders[[#This Row],[Customer Gender]]="o","Others",TRUE,"Unknown")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 "Male",orders[[#This Row],[Customer Gender]]="F","Female",orders[[#This Row],[Customer Gender]]="o","Others",TRUE,"Unknown")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 "Male",orders[[#This Row],[Customer Gender]]="F","Female",orders[[#This Row],[Customer Gender]]="o","Others",TRUE,"Unknown")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 "Male",orders[[#This Row],[Customer Gender]]="F","Female",orders[[#This Row],[Customer Gender]]="o","Others",TRUE,"Unknown")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 "Male",orders[[#This Row],[Customer Gender]]="F","Female",orders[[#This Row],[Customer Gender]]="o","Others",TRUE,"Unknown")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 "Male",orders[[#This Row],[Customer Gender]]="F","Female",orders[[#This Row],[Customer Gender]]="o","Others",TRUE,"Unknown")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 "Male",orders[[#This Row],[Customer Gender]]="F","Female",orders[[#This Row],[Customer Gender]]="o","Others",TRUE,"Unknown")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 "Male",orders[[#This Row],[Customer Gender]]="F","Female",orders[[#This Row],[Customer Gender]]="o","Others",TRUE,"Unknown")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 "Male",orders[[#This Row],[Customer Gender]]="F","Female",orders[[#This Row],[Customer Gender]]="o","Others",TRUE,"Unknown")</f>
        <v>Others</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 "Male",orders[[#This Row],[Customer Gender]]="F","Female",orders[[#This Row],[Customer Gender]]="o","Others",TRUE,"Unknown")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 "Male",orders[[#This Row],[Customer Gender]]="F","Female",orders[[#This Row],[Customer Gender]]="o","Others",TRUE,"Unknown")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 "Male",orders[[#This Row],[Customer Gender]]="F","Female",orders[[#This Row],[Customer Gender]]="o","Others",TRUE,"Unknown")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 "Male",orders[[#This Row],[Customer Gender]]="F","Female",orders[[#This Row],[Customer Gender]]="o","Others",TRUE,"Unknown")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 "Male",orders[[#This Row],[Customer Gender]]="F","Female",orders[[#This Row],[Customer Gender]]="o","Others",TRUE,"Unknown")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 "Male",orders[[#This Row],[Customer Gender]]="F","Female",orders[[#This Row],[Customer Gender]]="o","Others",TRUE,"Unknown")</f>
        <v>Others</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 "Male",orders[[#This Row],[Customer Gender]]="F","Female",orders[[#This Row],[Customer Gender]]="o","Others",TRUE,"Unknown")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 "Male",orders[[#This Row],[Customer Gender]]="F","Female",orders[[#This Row],[Customer Gender]]="o","Others",TRUE,"Unknown")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 "Male",orders[[#This Row],[Customer Gender]]="F","Female",orders[[#This Row],[Customer Gender]]="o","Others",TRUE,"Unknown")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 "Male",orders[[#This Row],[Customer Gender]]="F","Female",orders[[#This Row],[Customer Gender]]="o","Others",TRUE,"Unknown")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 "Male",orders[[#This Row],[Customer Gender]]="F","Female",orders[[#This Row],[Customer Gender]]="o","Others",TRUE,"Unknown")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 "Male",orders[[#This Row],[Customer Gender]]="F","Female",orders[[#This Row],[Customer Gender]]="o","Others",TRUE,"Unknown")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 "Male",orders[[#This Row],[Customer Gender]]="F","Female",orders[[#This Row],[Customer Gender]]="o","Others",TRUE,"Unknown")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 "Male",orders[[#This Row],[Customer Gender]]="F","Female",orders[[#This Row],[Customer Gender]]="o","Others",TRUE,"Unknown")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 "Male",orders[[#This Row],[Customer Gender]]="F","Female",orders[[#This Row],[Customer Gender]]="o","Others",TRUE,"Unknown")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 "Male",orders[[#This Row],[Customer Gender]]="F","Female",orders[[#This Row],[Customer Gender]]="o","Others",TRUE,"Unknown")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 "Male",orders[[#This Row],[Customer Gender]]="F","Female",orders[[#This Row],[Customer Gender]]="o","Others",TRUE,"Unknown")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 "Male",orders[[#This Row],[Customer Gender]]="F","Female",orders[[#This Row],[Customer Gender]]="o","Others",TRUE,"Unknown")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 "Male",orders[[#This Row],[Customer Gender]]="F","Female",orders[[#This Row],[Customer Gender]]="o","Others",TRUE,"Unknown")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 "Male",orders[[#This Row],[Customer Gender]]="F","Female",orders[[#This Row],[Customer Gender]]="o","Others",TRUE,"Unknown")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 "Male",orders[[#This Row],[Customer Gender]]="F","Female",orders[[#This Row],[Customer Gender]]="o","Others",TRUE,"Unknown")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 "Male",orders[[#This Row],[Customer Gender]]="F","Female",orders[[#This Row],[Customer Gender]]="o","Others",TRUE,"Unknown")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 "Male",orders[[#This Row],[Customer Gender]]="F","Female",orders[[#This Row],[Customer Gender]]="o","Others",TRUE,"Unknown")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 "Male",orders[[#This Row],[Customer Gender]]="F","Female",orders[[#This Row],[Customer Gender]]="o","Others",TRUE,"Unknown")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 "Male",orders[[#This Row],[Customer Gender]]="F","Female",orders[[#This Row],[Customer Gender]]="o","Others",TRUE,"Unknown")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 "Male",orders[[#This Row],[Customer Gender]]="F","Female",orders[[#This Row],[Customer Gender]]="o","Others",TRUE,"Unknown")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 "Male",orders[[#This Row],[Customer Gender]]="F","Female",orders[[#This Row],[Customer Gender]]="o","Others",TRUE,"Unknown")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 "Male",orders[[#This Row],[Customer Gender]]="F","Female",orders[[#This Row],[Customer Gender]]="o","Others",TRUE,"Unknown")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 "Male",orders[[#This Row],[Customer Gender]]="F","Female",orders[[#This Row],[Customer Gender]]="o","Others",TRUE,"Unknown")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 "Male",orders[[#This Row],[Customer Gender]]="F","Female",orders[[#This Row],[Customer Gender]]="o","Others",TRUE,"Unknown")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 "Male",orders[[#This Row],[Customer Gender]]="F","Female",orders[[#This Row],[Customer Gender]]="o","Others",TRUE,"Unknown")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 "Male",orders[[#This Row],[Customer Gender]]="F","Female",orders[[#This Row],[Customer Gender]]="o","Others",TRUE,"Unknown")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 "Male",orders[[#This Row],[Customer Gender]]="F","Female",orders[[#This Row],[Customer Gender]]="o","Others",TRUE,"Unknown")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 "Male",orders[[#This Row],[Customer Gender]]="F","Female",orders[[#This Row],[Customer Gender]]="o","Others",TRUE,"Unknown")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 "Male",orders[[#This Row],[Customer Gender]]="F","Female",orders[[#This Row],[Customer Gender]]="o","Others",TRUE,"Unknown")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 "Male",orders[[#This Row],[Customer Gender]]="F","Female",orders[[#This Row],[Customer Gender]]="o","Others",TRUE,"Unknown")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 "Male",orders[[#This Row],[Customer Gender]]="F","Female",orders[[#This Row],[Customer Gender]]="o","Others",TRUE,"Unknown")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 "Male",orders[[#This Row],[Customer Gender]]="F","Female",orders[[#This Row],[Customer Gender]]="o","Others",TRUE,"Unknown")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 "Male",orders[[#This Row],[Customer Gender]]="F","Female",orders[[#This Row],[Customer Gender]]="o","Others",TRUE,"Unknown")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 "Male",orders[[#This Row],[Customer Gender]]="F","Female",orders[[#This Row],[Customer Gender]]="o","Others",TRUE,"Unknown")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 "Male",orders[[#This Row],[Customer Gender]]="F","Female",orders[[#This Row],[Customer Gender]]="o","Others",TRUE,"Unknown")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 "Male",orders[[#This Row],[Customer Gender]]="F","Female",orders[[#This Row],[Customer Gender]]="o","Others",TRUE,"Unknown")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 "Male",orders[[#This Row],[Customer Gender]]="F","Female",orders[[#This Row],[Customer Gender]]="o","Others",TRUE,"Unknown")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 "Male",orders[[#This Row],[Customer Gender]]="F","Female",orders[[#This Row],[Customer Gender]]="o","Others",TRUE,"Unknown")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 "Male",orders[[#This Row],[Customer Gender]]="F","Female",orders[[#This Row],[Customer Gender]]="o","Others",TRUE,"Unknown")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 "Male",orders[[#This Row],[Customer Gender]]="F","Female",orders[[#This Row],[Customer Gender]]="o","Others",TRUE,"Unknown")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 "Male",orders[[#This Row],[Customer Gender]]="F","Female",orders[[#This Row],[Customer Gender]]="o","Others",TRUE,"Unknown")</f>
        <v>Others</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 "Male",orders[[#This Row],[Customer Gender]]="F","Female",orders[[#This Row],[Customer Gender]]="o","Others",TRUE,"Unknown")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 "Male",orders[[#This Row],[Customer Gender]]="F","Female",orders[[#This Row],[Customer Gender]]="o","Others",TRUE,"Unknown")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 "Male",orders[[#This Row],[Customer Gender]]="F","Female",orders[[#This Row],[Customer Gender]]="o","Others",TRUE,"Unknown")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 "Male",orders[[#This Row],[Customer Gender]]="F","Female",orders[[#This Row],[Customer Gender]]="o","Others",TRUE,"Unknown")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 "Male",orders[[#This Row],[Customer Gender]]="F","Female",orders[[#This Row],[Customer Gender]]="o","Others",TRUE,"Unknown")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 "Male",orders[[#This Row],[Customer Gender]]="F","Female",orders[[#This Row],[Customer Gender]]="o","Others",TRUE,"Unknown")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 "Male",orders[[#This Row],[Customer Gender]]="F","Female",orders[[#This Row],[Customer Gender]]="o","Others",TRUE,"Unknown")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 "Male",orders[[#This Row],[Customer Gender]]="F","Female",orders[[#This Row],[Customer Gender]]="o","Others",TRUE,"Unknown")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 "Male",orders[[#This Row],[Customer Gender]]="F","Female",orders[[#This Row],[Customer Gender]]="o","Others",TRUE,"Unknown")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 "Male",orders[[#This Row],[Customer Gender]]="F","Female",orders[[#This Row],[Customer Gender]]="o","Others",TRUE,"Unknown")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 "Male",orders[[#This Row],[Customer Gender]]="F","Female",orders[[#This Row],[Customer Gender]]="o","Others",TRUE,"Unknown")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 "Male",orders[[#This Row],[Customer Gender]]="F","Female",orders[[#This Row],[Customer Gender]]="o","Others",TRUE,"Unknown")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 "Male",orders[[#This Row],[Customer Gender]]="F","Female",orders[[#This Row],[Customer Gender]]="o","Others",TRUE,"Unknown")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 "Male",orders[[#This Row],[Customer Gender]]="F","Female",orders[[#This Row],[Customer Gender]]="o","Others",TRUE,"Unknown")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 "Male",orders[[#This Row],[Customer Gender]]="F","Female",orders[[#This Row],[Customer Gender]]="o","Others",TRUE,"Unknown")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 "Male",orders[[#This Row],[Customer Gender]]="F","Female",orders[[#This Row],[Customer Gender]]="o","Others",TRUE,"Unknown")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 "Male",orders[[#This Row],[Customer Gender]]="F","Female",orders[[#This Row],[Customer Gender]]="o","Others",TRUE,"Unknown")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 "Male",orders[[#This Row],[Customer Gender]]="F","Female",orders[[#This Row],[Customer Gender]]="o","Others",TRUE,"Unknown")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 "Male",orders[[#This Row],[Customer Gender]]="F","Female",orders[[#This Row],[Customer Gender]]="o","Others",TRUE,"Unknown")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 "Male",orders[[#This Row],[Customer Gender]]="F","Female",orders[[#This Row],[Customer Gender]]="o","Others",TRUE,"Unknown")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 "Male",orders[[#This Row],[Customer Gender]]="F","Female",orders[[#This Row],[Customer Gender]]="o","Others",TRUE,"Unknown")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 "Male",orders[[#This Row],[Customer Gender]]="F","Female",orders[[#This Row],[Customer Gender]]="o","Others",TRUE,"Unknown")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 "Male",orders[[#This Row],[Customer Gender]]="F","Female",orders[[#This Row],[Customer Gender]]="o","Others",TRUE,"Unknown")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 "Male",orders[[#This Row],[Customer Gender]]="F","Female",orders[[#This Row],[Customer Gender]]="o","Others",TRUE,"Unknown")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 "Male",orders[[#This Row],[Customer Gender]]="F","Female",orders[[#This Row],[Customer Gender]]="o","Others",TRUE,"Unknown")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 "Male",orders[[#This Row],[Customer Gender]]="F","Female",orders[[#This Row],[Customer Gender]]="o","Others",TRUE,"Unknown")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 "Male",orders[[#This Row],[Customer Gender]]="F","Female",orders[[#This Row],[Customer Gender]]="o","Others",TRUE,"Unknown")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 "Male",orders[[#This Row],[Customer Gender]]="F","Female",orders[[#This Row],[Customer Gender]]="o","Others",TRUE,"Unknown")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 "Male",orders[[#This Row],[Customer Gender]]="F","Female",orders[[#This Row],[Customer Gender]]="o","Others",TRUE,"Unknown")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 "Male",orders[[#This Row],[Customer Gender]]="F","Female",orders[[#This Row],[Customer Gender]]="o","Others",TRUE,"Unknown")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 "Male",orders[[#This Row],[Customer Gender]]="F","Female",orders[[#This Row],[Customer Gender]]="o","Others",TRUE,"Unknown")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 "Male",orders[[#This Row],[Customer Gender]]="F","Female",orders[[#This Row],[Customer Gender]]="o","Others",TRUE,"Unknown")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 "Male",orders[[#This Row],[Customer Gender]]="F","Female",orders[[#This Row],[Customer Gender]]="o","Others",TRUE,"Unknown")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 "Male",orders[[#This Row],[Customer Gender]]="F","Female",orders[[#This Row],[Customer Gender]]="o","Others",TRUE,"Unknown")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 "Male",orders[[#This Row],[Customer Gender]]="F","Female",orders[[#This Row],[Customer Gender]]="o","Others",TRUE,"Unknown")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 "Male",orders[[#This Row],[Customer Gender]]="F","Female",orders[[#This Row],[Customer Gender]]="o","Others",TRUE,"Unknown")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 "Male",orders[[#This Row],[Customer Gender]]="F","Female",orders[[#This Row],[Customer Gender]]="o","Others",TRUE,"Unknown")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 "Male",orders[[#This Row],[Customer Gender]]="F","Female",orders[[#This Row],[Customer Gender]]="o","Others",TRUE,"Unknown")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 "Male",orders[[#This Row],[Customer Gender]]="F","Female",orders[[#This Row],[Customer Gender]]="o","Others",TRUE,"Unknown")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 "Male",orders[[#This Row],[Customer Gender]]="F","Female",orders[[#This Row],[Customer Gender]]="o","Others",TRUE,"Unknown")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 "Male",orders[[#This Row],[Customer Gender]]="F","Female",orders[[#This Row],[Customer Gender]]="o","Others",TRUE,"Unknown")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 "Male",orders[[#This Row],[Customer Gender]]="F","Female",orders[[#This Row],[Customer Gender]]="o","Others",TRUE,"Unknown")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 "Male",orders[[#This Row],[Customer Gender]]="F","Female",orders[[#This Row],[Customer Gender]]="o","Others",TRUE,"Unknown")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 "Male",orders[[#This Row],[Customer Gender]]="F","Female",orders[[#This Row],[Customer Gender]]="o","Others",TRUE,"Unknown")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 "Male",orders[[#This Row],[Customer Gender]]="F","Female",orders[[#This Row],[Customer Gender]]="o","Others",TRUE,"Unknown")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 "Male",orders[[#This Row],[Customer Gender]]="F","Female",orders[[#This Row],[Customer Gender]]="o","Others",TRUE,"Unknown")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 "Male",orders[[#This Row],[Customer Gender]]="F","Female",orders[[#This Row],[Customer Gender]]="o","Others",TRUE,"Unknown")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 "Male",orders[[#This Row],[Customer Gender]]="F","Female",orders[[#This Row],[Customer Gender]]="o","Others",TRUE,"Unknown")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 "Male",orders[[#This Row],[Customer Gender]]="F","Female",orders[[#This Row],[Customer Gender]]="o","Others",TRUE,"Unknown")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 "Male",orders[[#This Row],[Customer Gender]]="F","Female",orders[[#This Row],[Customer Gender]]="o","Others",TRUE,"Unknown")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 "Male",orders[[#This Row],[Customer Gender]]="F","Female",orders[[#This Row],[Customer Gender]]="o","Others",TRUE,"Unknown")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 "Male",orders[[#This Row],[Customer Gender]]="F","Female",orders[[#This Row],[Customer Gender]]="o","Others",TRUE,"Unknown")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 "Male",orders[[#This Row],[Customer Gender]]="F","Female",orders[[#This Row],[Customer Gender]]="o","Others",TRUE,"Unknown")</f>
        <v>Others</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 "Male",orders[[#This Row],[Customer Gender]]="F","Female",orders[[#This Row],[Customer Gender]]="o","Others",TRUE,"Unknown")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 "Male",orders[[#This Row],[Customer Gender]]="F","Female",orders[[#This Row],[Customer Gender]]="o","Others",TRUE,"Unknown")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 "Male",orders[[#This Row],[Customer Gender]]="F","Female",orders[[#This Row],[Customer Gender]]="o","Others",TRUE,"Unknown")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 "Male",orders[[#This Row],[Customer Gender]]="F","Female",orders[[#This Row],[Customer Gender]]="o","Others",TRUE,"Unknown")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 "Male",orders[[#This Row],[Customer Gender]]="F","Female",orders[[#This Row],[Customer Gender]]="o","Others",TRUE,"Unknown")</f>
        <v>Others</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 "Male",orders[[#This Row],[Customer Gender]]="F","Female",orders[[#This Row],[Customer Gender]]="o","Others",TRUE,"Unknown")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 "Male",orders[[#This Row],[Customer Gender]]="F","Female",orders[[#This Row],[Customer Gender]]="o","Others",TRUE,"Unknown")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 "Male",orders[[#This Row],[Customer Gender]]="F","Female",orders[[#This Row],[Customer Gender]]="o","Others",TRUE,"Unknown")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 "Male",orders[[#This Row],[Customer Gender]]="F","Female",orders[[#This Row],[Customer Gender]]="o","Others",TRUE,"Unknown")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 "Male",orders[[#This Row],[Customer Gender]]="F","Female",orders[[#This Row],[Customer Gender]]="o","Others",TRUE,"Unknown")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 "Male",orders[[#This Row],[Customer Gender]]="F","Female",orders[[#This Row],[Customer Gender]]="o","Others",TRUE,"Unknown")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 "Male",orders[[#This Row],[Customer Gender]]="F","Female",orders[[#This Row],[Customer Gender]]="o","Others",TRUE,"Unknown")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 "Male",orders[[#This Row],[Customer Gender]]="F","Female",orders[[#This Row],[Customer Gender]]="o","Others",TRUE,"Unknown")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 "Male",orders[[#This Row],[Customer Gender]]="F","Female",orders[[#This Row],[Customer Gender]]="o","Others",TRUE,"Unknown")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 "Male",orders[[#This Row],[Customer Gender]]="F","Female",orders[[#This Row],[Customer Gender]]="o","Others",TRUE,"Unknown")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 "Male",orders[[#This Row],[Customer Gender]]="F","Female",orders[[#This Row],[Customer Gender]]="o","Others",TRUE,"Unknown")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 "Male",orders[[#This Row],[Customer Gender]]="F","Female",orders[[#This Row],[Customer Gender]]="o","Others",TRUE,"Unknown")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 "Male",orders[[#This Row],[Customer Gender]]="F","Female",orders[[#This Row],[Customer Gender]]="o","Others",TRUE,"Unknown")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 "Male",orders[[#This Row],[Customer Gender]]="F","Female",orders[[#This Row],[Customer Gender]]="o","Others",TRUE,"Unknown")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 "Male",orders[[#This Row],[Customer Gender]]="F","Female",orders[[#This Row],[Customer Gender]]="o","Others",TRUE,"Unknown")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 "Male",orders[[#This Row],[Customer Gender]]="F","Female",orders[[#This Row],[Customer Gender]]="o","Others",TRUE,"Unknown")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 "Male",orders[[#This Row],[Customer Gender]]="F","Female",orders[[#This Row],[Customer Gender]]="o","Others",TRUE,"Unknown")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 "Male",orders[[#This Row],[Customer Gender]]="F","Female",orders[[#This Row],[Customer Gender]]="o","Others",TRUE,"Unknown")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 "Male",orders[[#This Row],[Customer Gender]]="F","Female",orders[[#This Row],[Customer Gender]]="o","Others",TRUE,"Unknown")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 "Male",orders[[#This Row],[Customer Gender]]="F","Female",orders[[#This Row],[Customer Gender]]="o","Others",TRUE,"Unknown")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 "Male",orders[[#This Row],[Customer Gender]]="F","Female",orders[[#This Row],[Customer Gender]]="o","Others",TRUE,"Unknown")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 "Male",orders[[#This Row],[Customer Gender]]="F","Female",orders[[#This Row],[Customer Gender]]="o","Others",TRUE,"Unknown")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 "Male",orders[[#This Row],[Customer Gender]]="F","Female",orders[[#This Row],[Customer Gender]]="o","Others",TRUE,"Unknown")</f>
        <v>Others</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 "Male",orders[[#This Row],[Customer Gender]]="F","Female",orders[[#This Row],[Customer Gender]]="o","Others",TRUE,"Unknown")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 "Male",orders[[#This Row],[Customer Gender]]="F","Female",orders[[#This Row],[Customer Gender]]="o","Others",TRUE,"Unknown")</f>
        <v>Others</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 "Male",orders[[#This Row],[Customer Gender]]="F","Female",orders[[#This Row],[Customer Gender]]="o","Others",TRUE,"Unknown")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 "Male",orders[[#This Row],[Customer Gender]]="F","Female",orders[[#This Row],[Customer Gender]]="o","Others",TRUE,"Unknown")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 "Male",orders[[#This Row],[Customer Gender]]="F","Female",orders[[#This Row],[Customer Gender]]="o","Others",TRUE,"Unknown")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 "Male",orders[[#This Row],[Customer Gender]]="F","Female",orders[[#This Row],[Customer Gender]]="o","Others",TRUE,"Unknown")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 "Male",orders[[#This Row],[Customer Gender]]="F","Female",orders[[#This Row],[Customer Gender]]="o","Others",TRUE,"Unknown")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 "Male",orders[[#This Row],[Customer Gender]]="F","Female",orders[[#This Row],[Customer Gender]]="o","Others",TRUE,"Unknown")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 "Male",orders[[#This Row],[Customer Gender]]="F","Female",orders[[#This Row],[Customer Gender]]="o","Others",TRUE,"Unknown")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 "Male",orders[[#This Row],[Customer Gender]]="F","Female",orders[[#This Row],[Customer Gender]]="o","Others",TRUE,"Unknown")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 "Male",orders[[#This Row],[Customer Gender]]="F","Female",orders[[#This Row],[Customer Gender]]="o","Others",TRUE,"Unknown")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 "Male",orders[[#This Row],[Customer Gender]]="F","Female",orders[[#This Row],[Customer Gender]]="o","Others",TRUE,"Unknown")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 "Male",orders[[#This Row],[Customer Gender]]="F","Female",orders[[#This Row],[Customer Gender]]="o","Others",TRUE,"Unknown")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 "Male",orders[[#This Row],[Customer Gender]]="F","Female",orders[[#This Row],[Customer Gender]]="o","Others",TRUE,"Unknown")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 "Male",orders[[#This Row],[Customer Gender]]="F","Female",orders[[#This Row],[Customer Gender]]="o","Others",TRUE,"Unknown")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 "Male",orders[[#This Row],[Customer Gender]]="F","Female",orders[[#This Row],[Customer Gender]]="o","Others",TRUE,"Unknown")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 "Male",orders[[#This Row],[Customer Gender]]="F","Female",orders[[#This Row],[Customer Gender]]="o","Others",TRUE,"Unknown")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 "Male",orders[[#This Row],[Customer Gender]]="F","Female",orders[[#This Row],[Customer Gender]]="o","Others",TRUE,"Unknown")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 "Male",orders[[#This Row],[Customer Gender]]="F","Female",orders[[#This Row],[Customer Gender]]="o","Others",TRUE,"Unknown")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 "Male",orders[[#This Row],[Customer Gender]]="F","Female",orders[[#This Row],[Customer Gender]]="o","Others",TRUE,"Unknown")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 "Male",orders[[#This Row],[Customer Gender]]="F","Female",orders[[#This Row],[Customer Gender]]="o","Others",TRUE,"Unknown")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 "Male",orders[[#This Row],[Customer Gender]]="F","Female",orders[[#This Row],[Customer Gender]]="o","Others",TRUE,"Unknown")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 "Male",orders[[#This Row],[Customer Gender]]="F","Female",orders[[#This Row],[Customer Gender]]="o","Others",TRUE,"Unknown")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 "Male",orders[[#This Row],[Customer Gender]]="F","Female",orders[[#This Row],[Customer Gender]]="o","Others",TRUE,"Unknown")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 "Male",orders[[#This Row],[Customer Gender]]="F","Female",orders[[#This Row],[Customer Gender]]="o","Others",TRUE,"Unknown")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 "Male",orders[[#This Row],[Customer Gender]]="F","Female",orders[[#This Row],[Customer Gender]]="o","Others",TRUE,"Unknown")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 "Male",orders[[#This Row],[Customer Gender]]="F","Female",orders[[#This Row],[Customer Gender]]="o","Others",TRUE,"Unknown")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 "Male",orders[[#This Row],[Customer Gender]]="F","Female",orders[[#This Row],[Customer Gender]]="o","Others",TRUE,"Unknown")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 "Male",orders[[#This Row],[Customer Gender]]="F","Female",orders[[#This Row],[Customer Gender]]="o","Others",TRUE,"Unknown")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 "Male",orders[[#This Row],[Customer Gender]]="F","Female",orders[[#This Row],[Customer Gender]]="o","Others",TRUE,"Unknown")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 "Male",orders[[#This Row],[Customer Gender]]="F","Female",orders[[#This Row],[Customer Gender]]="o","Others",TRUE,"Unknown")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 "Male",orders[[#This Row],[Customer Gender]]="F","Female",orders[[#This Row],[Customer Gender]]="o","Others",TRUE,"Unknown")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 "Male",orders[[#This Row],[Customer Gender]]="F","Female",orders[[#This Row],[Customer Gender]]="o","Others",TRUE,"Unknown")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 "Male",orders[[#This Row],[Customer Gender]]="F","Female",orders[[#This Row],[Customer Gender]]="o","Others",TRUE,"Unknown")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 "Male",orders[[#This Row],[Customer Gender]]="F","Female",orders[[#This Row],[Customer Gender]]="o","Others",TRUE,"Unknown")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 "Male",orders[[#This Row],[Customer Gender]]="F","Female",orders[[#This Row],[Customer Gender]]="o","Others",TRUE,"Unknown")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 "Male",orders[[#This Row],[Customer Gender]]="F","Female",orders[[#This Row],[Customer Gender]]="o","Others",TRUE,"Unknown")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 "Male",orders[[#This Row],[Customer Gender]]="F","Female",orders[[#This Row],[Customer Gender]]="o","Others",TRUE,"Unknown")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 "Male",orders[[#This Row],[Customer Gender]]="F","Female",orders[[#This Row],[Customer Gender]]="o","Others",TRUE,"Unknown")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 "Male",orders[[#This Row],[Customer Gender]]="F","Female",orders[[#This Row],[Customer Gender]]="o","Others",TRUE,"Unknown")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 "Male",orders[[#This Row],[Customer Gender]]="F","Female",orders[[#This Row],[Customer Gender]]="o","Others",TRUE,"Unknown")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 "Male",orders[[#This Row],[Customer Gender]]="F","Female",orders[[#This Row],[Customer Gender]]="o","Others",TRUE,"Unknown")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 "Male",orders[[#This Row],[Customer Gender]]="F","Female",orders[[#This Row],[Customer Gender]]="o","Others",TRUE,"Unknown")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 "Male",orders[[#This Row],[Customer Gender]]="F","Female",orders[[#This Row],[Customer Gender]]="o","Others",TRUE,"Unknown")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 "Male",orders[[#This Row],[Customer Gender]]="F","Female",orders[[#This Row],[Customer Gender]]="o","Others",TRUE,"Unknown")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 "Male",orders[[#This Row],[Customer Gender]]="F","Female",orders[[#This Row],[Customer Gender]]="o","Others",TRUE,"Unknown")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 "Male",orders[[#This Row],[Customer Gender]]="F","Female",orders[[#This Row],[Customer Gender]]="o","Others",TRUE,"Unknown")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 "Male",orders[[#This Row],[Customer Gender]]="F","Female",orders[[#This Row],[Customer Gender]]="o","Others",TRUE,"Unknown")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 "Male",orders[[#This Row],[Customer Gender]]="F","Female",orders[[#This Row],[Customer Gender]]="o","Others",TRUE,"Unknown")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 "Male",orders[[#This Row],[Customer Gender]]="F","Female",orders[[#This Row],[Customer Gender]]="o","Others",TRUE,"Unknown")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 "Male",orders[[#This Row],[Customer Gender]]="F","Female",orders[[#This Row],[Customer Gender]]="o","Others",TRUE,"Unknown")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 "Male",orders[[#This Row],[Customer Gender]]="F","Female",orders[[#This Row],[Customer Gender]]="o","Others",TRUE,"Unknown")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 "Male",orders[[#This Row],[Customer Gender]]="F","Female",orders[[#This Row],[Customer Gender]]="o","Others",TRUE,"Unknown")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 "Male",orders[[#This Row],[Customer Gender]]="F","Female",orders[[#This Row],[Customer Gender]]="o","Others",TRUE,"Unknown")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 "Male",orders[[#This Row],[Customer Gender]]="F","Female",orders[[#This Row],[Customer Gender]]="o","Others",TRUE,"Unknown")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 "Male",orders[[#This Row],[Customer Gender]]="F","Female",orders[[#This Row],[Customer Gender]]="o","Others",TRUE,"Unknown")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 "Male",orders[[#This Row],[Customer Gender]]="F","Female",orders[[#This Row],[Customer Gender]]="o","Others",TRUE,"Unknown")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 "Male",orders[[#This Row],[Customer Gender]]="F","Female",orders[[#This Row],[Customer Gender]]="o","Others",TRUE,"Unknown")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 "Male",orders[[#This Row],[Customer Gender]]="F","Female",orders[[#This Row],[Customer Gender]]="o","Others",TRUE,"Unknown")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 "Male",orders[[#This Row],[Customer Gender]]="F","Female",orders[[#This Row],[Customer Gender]]="o","Others",TRUE,"Unknown")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 "Male",orders[[#This Row],[Customer Gender]]="F","Female",orders[[#This Row],[Customer Gender]]="o","Others",TRUE,"Unknown")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 "Male",orders[[#This Row],[Customer Gender]]="F","Female",orders[[#This Row],[Customer Gender]]="o","Others",TRUE,"Unknown")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 "Male",orders[[#This Row],[Customer Gender]]="F","Female",orders[[#This Row],[Customer Gender]]="o","Others",TRUE,"Unknown")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 "Male",orders[[#This Row],[Customer Gender]]="F","Female",orders[[#This Row],[Customer Gender]]="o","Others",TRUE,"Unknown")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 "Male",orders[[#This Row],[Customer Gender]]="F","Female",orders[[#This Row],[Customer Gender]]="o","Others",TRUE,"Unknown")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 "Male",orders[[#This Row],[Customer Gender]]="F","Female",orders[[#This Row],[Customer Gender]]="o","Others",TRUE,"Unknown")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 "Male",orders[[#This Row],[Customer Gender]]="F","Female",orders[[#This Row],[Customer Gender]]="o","Others",TRUE,"Unknown")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 "Male",orders[[#This Row],[Customer Gender]]="F","Female",orders[[#This Row],[Customer Gender]]="o","Others",TRUE,"Unknown")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 "Male",orders[[#This Row],[Customer Gender]]="F","Female",orders[[#This Row],[Customer Gender]]="o","Others",TRUE,"Unknown")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 "Male",orders[[#This Row],[Customer Gender]]="F","Female",orders[[#This Row],[Customer Gender]]="o","Others",TRUE,"Unknown")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 "Male",orders[[#This Row],[Customer Gender]]="F","Female",orders[[#This Row],[Customer Gender]]="o","Others",TRUE,"Unknown")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 "Male",orders[[#This Row],[Customer Gender]]="F","Female",orders[[#This Row],[Customer Gender]]="o","Others",TRUE,"Unknown")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 "Male",orders[[#This Row],[Customer Gender]]="F","Female",orders[[#This Row],[Customer Gender]]="o","Others",TRUE,"Unknown")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 "Male",orders[[#This Row],[Customer Gender]]="F","Female",orders[[#This Row],[Customer Gender]]="o","Others",TRUE,"Unknown")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 "Male",orders[[#This Row],[Customer Gender]]="F","Female",orders[[#This Row],[Customer Gender]]="o","Others",TRUE,"Unknown")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 "Male",orders[[#This Row],[Customer Gender]]="F","Female",orders[[#This Row],[Customer Gender]]="o","Others",TRUE,"Unknown")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 "Male",orders[[#This Row],[Customer Gender]]="F","Female",orders[[#This Row],[Customer Gender]]="o","Others",TRUE,"Unknown")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 "Male",orders[[#This Row],[Customer Gender]]="F","Female",orders[[#This Row],[Customer Gender]]="o","Others",TRUE,"Unknown")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 "Male",orders[[#This Row],[Customer Gender]]="F","Female",orders[[#This Row],[Customer Gender]]="o","Others",TRUE,"Unknown")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 "Male",orders[[#This Row],[Customer Gender]]="F","Female",orders[[#This Row],[Customer Gender]]="o","Others",TRUE,"Unknown")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 "Male",orders[[#This Row],[Customer Gender]]="F","Female",orders[[#This Row],[Customer Gender]]="o","Others",TRUE,"Unknown")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 "Male",orders[[#This Row],[Customer Gender]]="F","Female",orders[[#This Row],[Customer Gender]]="o","Others",TRUE,"Unknown")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 "Male",orders[[#This Row],[Customer Gender]]="F","Female",orders[[#This Row],[Customer Gender]]="o","Others",TRUE,"Unknown")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 "Male",orders[[#This Row],[Customer Gender]]="F","Female",orders[[#This Row],[Customer Gender]]="o","Others",TRUE,"Unknown")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 "Male",orders[[#This Row],[Customer Gender]]="F","Female",orders[[#This Row],[Customer Gender]]="o","Others",TRUE,"Unknown")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 "Male",orders[[#This Row],[Customer Gender]]="F","Female",orders[[#This Row],[Customer Gender]]="o","Others",TRUE,"Unknown")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 "Male",orders[[#This Row],[Customer Gender]]="F","Female",orders[[#This Row],[Customer Gender]]="o","Others",TRUE,"Unknown")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 "Male",orders[[#This Row],[Customer Gender]]="F","Female",orders[[#This Row],[Customer Gender]]="o","Others",TRUE,"Unknown")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 "Male",orders[[#This Row],[Customer Gender]]="F","Female",orders[[#This Row],[Customer Gender]]="o","Others",TRUE,"Unknown")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 "Male",orders[[#This Row],[Customer Gender]]="F","Female",orders[[#This Row],[Customer Gender]]="o","Others",TRUE,"Unknown")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 "Male",orders[[#This Row],[Customer Gender]]="F","Female",orders[[#This Row],[Customer Gender]]="o","Others",TRUE,"Unknown")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 "Male",orders[[#This Row],[Customer Gender]]="F","Female",orders[[#This Row],[Customer Gender]]="o","Others",TRUE,"Unknown")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 "Male",orders[[#This Row],[Customer Gender]]="F","Female",orders[[#This Row],[Customer Gender]]="o","Others",TRUE,"Unknown")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 "Male",orders[[#This Row],[Customer Gender]]="F","Female",orders[[#This Row],[Customer Gender]]="o","Others",TRUE,"Unknown")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 "Male",orders[[#This Row],[Customer Gender]]="F","Female",orders[[#This Row],[Customer Gender]]="o","Others",TRUE,"Unknown")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 "Male",orders[[#This Row],[Customer Gender]]="F","Female",orders[[#This Row],[Customer Gender]]="o","Others",TRUE,"Unknown")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 "Male",orders[[#This Row],[Customer Gender]]="F","Female",orders[[#This Row],[Customer Gender]]="o","Others",TRUE,"Unknown")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 "Male",orders[[#This Row],[Customer Gender]]="F","Female",orders[[#This Row],[Customer Gender]]="o","Others",TRUE,"Unknown")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 "Male",orders[[#This Row],[Customer Gender]]="F","Female",orders[[#This Row],[Customer Gender]]="o","Others",TRUE,"Unknown")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 "Male",orders[[#This Row],[Customer Gender]]="F","Female",orders[[#This Row],[Customer Gender]]="o","Others",TRUE,"Unknown")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 "Male",orders[[#This Row],[Customer Gender]]="F","Female",orders[[#This Row],[Customer Gender]]="o","Others",TRUE,"Unknown")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 "Male",orders[[#This Row],[Customer Gender]]="F","Female",orders[[#This Row],[Customer Gender]]="o","Others",TRUE,"Unknown")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 "Male",orders[[#This Row],[Customer Gender]]="F","Female",orders[[#This Row],[Customer Gender]]="o","Others",TRUE,"Unknown")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 "Male",orders[[#This Row],[Customer Gender]]="F","Female",orders[[#This Row],[Customer Gender]]="o","Others",TRUE,"Unknown")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 "Male",orders[[#This Row],[Customer Gender]]="F","Female",orders[[#This Row],[Customer Gender]]="o","Others",TRUE,"Unknown")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 "Male",orders[[#This Row],[Customer Gender]]="F","Female",orders[[#This Row],[Customer Gender]]="o","Others",TRUE,"Unknown")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 "Male",orders[[#This Row],[Customer Gender]]="F","Female",orders[[#This Row],[Customer Gender]]="o","Others",TRUE,"Unknown")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 "Male",orders[[#This Row],[Customer Gender]]="F","Female",orders[[#This Row],[Customer Gender]]="o","Others",TRUE,"Unknown")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 "Male",orders[[#This Row],[Customer Gender]]="F","Female",orders[[#This Row],[Customer Gender]]="o","Others",TRUE,"Unknown")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 "Male",orders[[#This Row],[Customer Gender]]="F","Female",orders[[#This Row],[Customer Gender]]="o","Others",TRUE,"Unknown")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 "Male",orders[[#This Row],[Customer Gender]]="F","Female",orders[[#This Row],[Customer Gender]]="o","Others",TRUE,"Unknown")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 "Male",orders[[#This Row],[Customer Gender]]="F","Female",orders[[#This Row],[Customer Gender]]="o","Others",TRUE,"Unknown")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 "Male",orders[[#This Row],[Customer Gender]]="F","Female",orders[[#This Row],[Customer Gender]]="o","Others",TRUE,"Unknown")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 "Male",orders[[#This Row],[Customer Gender]]="F","Female",orders[[#This Row],[Customer Gender]]="o","Others",TRUE,"Unknown")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 "Male",orders[[#This Row],[Customer Gender]]="F","Female",orders[[#This Row],[Customer Gender]]="o","Others",TRUE,"Unknown")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 "Male",orders[[#This Row],[Customer Gender]]="F","Female",orders[[#This Row],[Customer Gender]]="o","Others",TRUE,"Unknown")</f>
        <v>Others</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 "Male",orders[[#This Row],[Customer Gender]]="F","Female",orders[[#This Row],[Customer Gender]]="o","Others",TRUE,"Unknown")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 "Male",orders[[#This Row],[Customer Gender]]="F","Female",orders[[#This Row],[Customer Gender]]="o","Others",TRUE,"Unknown")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 "Male",orders[[#This Row],[Customer Gender]]="F","Female",orders[[#This Row],[Customer Gender]]="o","Others",TRUE,"Unknown")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 "Male",orders[[#This Row],[Customer Gender]]="F","Female",orders[[#This Row],[Customer Gender]]="o","Others",TRUE,"Unknown")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 "Male",orders[[#This Row],[Customer Gender]]="F","Female",orders[[#This Row],[Customer Gender]]="o","Others",TRUE,"Unknown")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 "Male",orders[[#This Row],[Customer Gender]]="F","Female",orders[[#This Row],[Customer Gender]]="o","Others",TRUE,"Unknown")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 "Male",orders[[#This Row],[Customer Gender]]="F","Female",orders[[#This Row],[Customer Gender]]="o","Others",TRUE,"Unknown")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 "Male",orders[[#This Row],[Customer Gender]]="F","Female",orders[[#This Row],[Customer Gender]]="o","Others",TRUE,"Unknown")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 "Male",orders[[#This Row],[Customer Gender]]="F","Female",orders[[#This Row],[Customer Gender]]="o","Others",TRUE,"Unknown")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 "Male",orders[[#This Row],[Customer Gender]]="F","Female",orders[[#This Row],[Customer Gender]]="o","Others",TRUE,"Unknown")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 "Male",orders[[#This Row],[Customer Gender]]="F","Female",orders[[#This Row],[Customer Gender]]="o","Others",TRUE,"Unknown")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 "Male",orders[[#This Row],[Customer Gender]]="F","Female",orders[[#This Row],[Customer Gender]]="o","Others",TRUE,"Unknown")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 "Male",orders[[#This Row],[Customer Gender]]="F","Female",orders[[#This Row],[Customer Gender]]="o","Others",TRUE,"Unknown")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 "Male",orders[[#This Row],[Customer Gender]]="F","Female",orders[[#This Row],[Customer Gender]]="o","Others",TRUE,"Unknown")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 "Male",orders[[#This Row],[Customer Gender]]="F","Female",orders[[#This Row],[Customer Gender]]="o","Others",TRUE,"Unknown")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 "Male",orders[[#This Row],[Customer Gender]]="F","Female",orders[[#This Row],[Customer Gender]]="o","Others",TRUE,"Unknown")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 "Male",orders[[#This Row],[Customer Gender]]="F","Female",orders[[#This Row],[Customer Gender]]="o","Others",TRUE,"Unknown")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 "Male",orders[[#This Row],[Customer Gender]]="F","Female",orders[[#This Row],[Customer Gender]]="o","Others",TRUE,"Unknown")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 "Male",orders[[#This Row],[Customer Gender]]="F","Female",orders[[#This Row],[Customer Gender]]="o","Others",TRUE,"Unknown")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 "Male",orders[[#This Row],[Customer Gender]]="F","Female",orders[[#This Row],[Customer Gender]]="o","Others",TRUE,"Unknown")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 "Male",orders[[#This Row],[Customer Gender]]="F","Female",orders[[#This Row],[Customer Gender]]="o","Others",TRUE,"Unknown")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 "Male",orders[[#This Row],[Customer Gender]]="F","Female",orders[[#This Row],[Customer Gender]]="o","Others",TRUE,"Unknown")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 "Male",orders[[#This Row],[Customer Gender]]="F","Female",orders[[#This Row],[Customer Gender]]="o","Others",TRUE,"Unknown")</f>
        <v>Others</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 "Male",orders[[#This Row],[Customer Gender]]="F","Female",orders[[#This Row],[Customer Gender]]="o","Others",TRUE,"Unknown")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 "Male",orders[[#This Row],[Customer Gender]]="F","Female",orders[[#This Row],[Customer Gender]]="o","Others",TRUE,"Unknown")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 "Male",orders[[#This Row],[Customer Gender]]="F","Female",orders[[#This Row],[Customer Gender]]="o","Others",TRUE,"Unknown")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 "Male",orders[[#This Row],[Customer Gender]]="F","Female",orders[[#This Row],[Customer Gender]]="o","Others",TRUE,"Unknown")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 "Male",orders[[#This Row],[Customer Gender]]="F","Female",orders[[#This Row],[Customer Gender]]="o","Others",TRUE,"Unknown")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 "Male",orders[[#This Row],[Customer Gender]]="F","Female",orders[[#This Row],[Customer Gender]]="o","Others",TRUE,"Unknown")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 "Male",orders[[#This Row],[Customer Gender]]="F","Female",orders[[#This Row],[Customer Gender]]="o","Others",TRUE,"Unknown")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 "Male",orders[[#This Row],[Customer Gender]]="F","Female",orders[[#This Row],[Customer Gender]]="o","Others",TRUE,"Unknown")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 "Male",orders[[#This Row],[Customer Gender]]="F","Female",orders[[#This Row],[Customer Gender]]="o","Others",TRUE,"Unknown")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 "Male",orders[[#This Row],[Customer Gender]]="F","Female",orders[[#This Row],[Customer Gender]]="o","Others",TRUE,"Unknown")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 "Male",orders[[#This Row],[Customer Gender]]="F","Female",orders[[#This Row],[Customer Gender]]="o","Others",TRUE,"Unknown")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 "Male",orders[[#This Row],[Customer Gender]]="F","Female",orders[[#This Row],[Customer Gender]]="o","Others",TRUE,"Unknown")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 "Male",orders[[#This Row],[Customer Gender]]="F","Female",orders[[#This Row],[Customer Gender]]="o","Others",TRUE,"Unknown")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 "Male",orders[[#This Row],[Customer Gender]]="F","Female",orders[[#This Row],[Customer Gender]]="o","Others",TRUE,"Unknown")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 "Male",orders[[#This Row],[Customer Gender]]="F","Female",orders[[#This Row],[Customer Gender]]="o","Others",TRUE,"Unknown")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 "Male",orders[[#This Row],[Customer Gender]]="F","Female",orders[[#This Row],[Customer Gender]]="o","Others",TRUE,"Unknown")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 "Male",orders[[#This Row],[Customer Gender]]="F","Female",orders[[#This Row],[Customer Gender]]="o","Others",TRUE,"Unknown")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 "Male",orders[[#This Row],[Customer Gender]]="F","Female",orders[[#This Row],[Customer Gender]]="o","Others",TRUE,"Unknown")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 "Male",orders[[#This Row],[Customer Gender]]="F","Female",orders[[#This Row],[Customer Gender]]="o","Others",TRUE,"Unknown")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 "Male",orders[[#This Row],[Customer Gender]]="F","Female",orders[[#This Row],[Customer Gender]]="o","Others",TRUE,"Unknown")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 "Male",orders[[#This Row],[Customer Gender]]="F","Female",orders[[#This Row],[Customer Gender]]="o","Others",TRUE,"Unknown")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 "Male",orders[[#This Row],[Customer Gender]]="F","Female",orders[[#This Row],[Customer Gender]]="o","Others",TRUE,"Unknown")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 "Male",orders[[#This Row],[Customer Gender]]="F","Female",orders[[#This Row],[Customer Gender]]="o","Others",TRUE,"Unknown")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 "Male",orders[[#This Row],[Customer Gender]]="F","Female",orders[[#This Row],[Customer Gender]]="o","Others",TRUE,"Unknown")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 "Male",orders[[#This Row],[Customer Gender]]="F","Female",orders[[#This Row],[Customer Gender]]="o","Others",TRUE,"Unknown")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 "Male",orders[[#This Row],[Customer Gender]]="F","Female",orders[[#This Row],[Customer Gender]]="o","Others",TRUE,"Unknown")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 "Male",orders[[#This Row],[Customer Gender]]="F","Female",orders[[#This Row],[Customer Gender]]="o","Others",TRUE,"Unknown")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 "Male",orders[[#This Row],[Customer Gender]]="F","Female",orders[[#This Row],[Customer Gender]]="o","Others",TRUE,"Unknown")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 "Male",orders[[#This Row],[Customer Gender]]="F","Female",orders[[#This Row],[Customer Gender]]="o","Others",TRUE,"Unknown")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 "Male",orders[[#This Row],[Customer Gender]]="F","Female",orders[[#This Row],[Customer Gender]]="o","Others",TRUE,"Unknown")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 "Male",orders[[#This Row],[Customer Gender]]="F","Female",orders[[#This Row],[Customer Gender]]="o","Others",TRUE,"Unknown")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 "Male",orders[[#This Row],[Customer Gender]]="F","Female",orders[[#This Row],[Customer Gender]]="o","Others",TRUE,"Unknown")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 "Male",orders[[#This Row],[Customer Gender]]="F","Female",orders[[#This Row],[Customer Gender]]="o","Others",TRUE,"Unknown")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 "Male",orders[[#This Row],[Customer Gender]]="F","Female",orders[[#This Row],[Customer Gender]]="o","Others",TRUE,"Unknown")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 "Male",orders[[#This Row],[Customer Gender]]="F","Female",orders[[#This Row],[Customer Gender]]="o","Others",TRUE,"Unknown")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 "Male",orders[[#This Row],[Customer Gender]]="F","Female",orders[[#This Row],[Customer Gender]]="o","Others",TRUE,"Unknown")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 "Male",orders[[#This Row],[Customer Gender]]="F","Female",orders[[#This Row],[Customer Gender]]="o","Others",TRUE,"Unknown")</f>
        <v>Others</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 "Male",orders[[#This Row],[Customer Gender]]="F","Female",orders[[#This Row],[Customer Gender]]="o","Others",TRUE,"Unknown")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 "Male",orders[[#This Row],[Customer Gender]]="F","Female",orders[[#This Row],[Customer Gender]]="o","Others",TRUE,"Unknown")</f>
        <v>Others</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 "Male",orders[[#This Row],[Customer Gender]]="F","Female",orders[[#This Row],[Customer Gender]]="o","Others",TRUE,"Unknown")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 "Male",orders[[#This Row],[Customer Gender]]="F","Female",orders[[#This Row],[Customer Gender]]="o","Others",TRUE,"Unknown")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 "Male",orders[[#This Row],[Customer Gender]]="F","Female",orders[[#This Row],[Customer Gender]]="o","Others",TRUE,"Unknown")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 "Male",orders[[#This Row],[Customer Gender]]="F","Female",orders[[#This Row],[Customer Gender]]="o","Others",TRUE,"Unknown")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 "Male",orders[[#This Row],[Customer Gender]]="F","Female",orders[[#This Row],[Customer Gender]]="o","Others",TRUE,"Unknown")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 "Male",orders[[#This Row],[Customer Gender]]="F","Female",orders[[#This Row],[Customer Gender]]="o","Others",TRUE,"Unknown")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 "Male",orders[[#This Row],[Customer Gender]]="F","Female",orders[[#This Row],[Customer Gender]]="o","Others",TRUE,"Unknown")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 "Male",orders[[#This Row],[Customer Gender]]="F","Female",orders[[#This Row],[Customer Gender]]="o","Others",TRUE,"Unknown")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 "Male",orders[[#This Row],[Customer Gender]]="F","Female",orders[[#This Row],[Customer Gender]]="o","Others",TRUE,"Unknown")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 "Male",orders[[#This Row],[Customer Gender]]="F","Female",orders[[#This Row],[Customer Gender]]="o","Others",TRUE,"Unknown")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 "Male",orders[[#This Row],[Customer Gender]]="F","Female",orders[[#This Row],[Customer Gender]]="o","Others",TRUE,"Unknown")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 "Male",orders[[#This Row],[Customer Gender]]="F","Female",orders[[#This Row],[Customer Gender]]="o","Others",TRUE,"Unknown")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 "Male",orders[[#This Row],[Customer Gender]]="F","Female",orders[[#This Row],[Customer Gender]]="o","Others",TRUE,"Unknown")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 "Male",orders[[#This Row],[Customer Gender]]="F","Female",orders[[#This Row],[Customer Gender]]="o","Others",TRUE,"Unknown")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 "Male",orders[[#This Row],[Customer Gender]]="F","Female",orders[[#This Row],[Customer Gender]]="o","Others",TRUE,"Unknown")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 "Male",orders[[#This Row],[Customer Gender]]="F","Female",orders[[#This Row],[Customer Gender]]="o","Others",TRUE,"Unknown")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 "Male",orders[[#This Row],[Customer Gender]]="F","Female",orders[[#This Row],[Customer Gender]]="o","Others",TRUE,"Unknown")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 "Male",orders[[#This Row],[Customer Gender]]="F","Female",orders[[#This Row],[Customer Gender]]="o","Others",TRUE,"Unknown")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 "Male",orders[[#This Row],[Customer Gender]]="F","Female",orders[[#This Row],[Customer Gender]]="o","Others",TRUE,"Unknown")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 "Male",orders[[#This Row],[Customer Gender]]="F","Female",orders[[#This Row],[Customer Gender]]="o","Others",TRUE,"Unknown")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 "Male",orders[[#This Row],[Customer Gender]]="F","Female",orders[[#This Row],[Customer Gender]]="o","Others",TRUE,"Unknown")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 "Male",orders[[#This Row],[Customer Gender]]="F","Female",orders[[#This Row],[Customer Gender]]="o","Others",TRUE,"Unknown")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 "Male",orders[[#This Row],[Customer Gender]]="F","Female",orders[[#This Row],[Customer Gender]]="o","Others",TRUE,"Unknown")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 "Male",orders[[#This Row],[Customer Gender]]="F","Female",orders[[#This Row],[Customer Gender]]="o","Others",TRUE,"Unknown")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 "Male",orders[[#This Row],[Customer Gender]]="F","Female",orders[[#This Row],[Customer Gender]]="o","Others",TRUE,"Unknown")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 "Male",orders[[#This Row],[Customer Gender]]="F","Female",orders[[#This Row],[Customer Gender]]="o","Others",TRUE,"Unknown")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 "Male",orders[[#This Row],[Customer Gender]]="F","Female",orders[[#This Row],[Customer Gender]]="o","Others",TRUE,"Unknown")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 "Male",orders[[#This Row],[Customer Gender]]="F","Female",orders[[#This Row],[Customer Gender]]="o","Others",TRUE,"Unknown")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 "Male",orders[[#This Row],[Customer Gender]]="F","Female",orders[[#This Row],[Customer Gender]]="o","Others",TRUE,"Unknown")</f>
        <v>Others</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 "Male",orders[[#This Row],[Customer Gender]]="F","Female",orders[[#This Row],[Customer Gender]]="o","Others",TRUE,"Unknown")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 "Male",orders[[#This Row],[Customer Gender]]="F","Female",orders[[#This Row],[Customer Gender]]="o","Others",TRUE,"Unknown")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 "Male",orders[[#This Row],[Customer Gender]]="F","Female",orders[[#This Row],[Customer Gender]]="o","Others",TRUE,"Unknown")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 "Male",orders[[#This Row],[Customer Gender]]="F","Female",orders[[#This Row],[Customer Gender]]="o","Others",TRUE,"Unknown")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 "Male",orders[[#This Row],[Customer Gender]]="F","Female",orders[[#This Row],[Customer Gender]]="o","Others",TRUE,"Unknown")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 "Male",orders[[#This Row],[Customer Gender]]="F","Female",orders[[#This Row],[Customer Gender]]="o","Others",TRUE,"Unknown")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 "Male",orders[[#This Row],[Customer Gender]]="F","Female",orders[[#This Row],[Customer Gender]]="o","Others",TRUE,"Unknown")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 "Male",orders[[#This Row],[Customer Gender]]="F","Female",orders[[#This Row],[Customer Gender]]="o","Others",TRUE,"Unknown")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 "Male",orders[[#This Row],[Customer Gender]]="F","Female",orders[[#This Row],[Customer Gender]]="o","Others",TRUE,"Unknown")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 "Male",orders[[#This Row],[Customer Gender]]="F","Female",orders[[#This Row],[Customer Gender]]="o","Others",TRUE,"Unknown")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 "Male",orders[[#This Row],[Customer Gender]]="F","Female",orders[[#This Row],[Customer Gender]]="o","Others",TRUE,"Unknown")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 "Male",orders[[#This Row],[Customer Gender]]="F","Female",orders[[#This Row],[Customer Gender]]="o","Others",TRUE,"Unknown")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 "Male",orders[[#This Row],[Customer Gender]]="F","Female",orders[[#This Row],[Customer Gender]]="o","Others",TRUE,"Unknown")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 "Male",orders[[#This Row],[Customer Gender]]="F","Female",orders[[#This Row],[Customer Gender]]="o","Others",TRUE,"Unknown")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 "Male",orders[[#This Row],[Customer Gender]]="F","Female",orders[[#This Row],[Customer Gender]]="o","Others",TRUE,"Unknown")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 "Male",orders[[#This Row],[Customer Gender]]="F","Female",orders[[#This Row],[Customer Gender]]="o","Others",TRUE,"Unknown")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 "Male",orders[[#This Row],[Customer Gender]]="F","Female",orders[[#This Row],[Customer Gender]]="o","Others",TRUE,"Unknown")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 "Male",orders[[#This Row],[Customer Gender]]="F","Female",orders[[#This Row],[Customer Gender]]="o","Others",TRUE,"Unknown")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 "Male",orders[[#This Row],[Customer Gender]]="F","Female",orders[[#This Row],[Customer Gender]]="o","Others",TRUE,"Unknown")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 "Male",orders[[#This Row],[Customer Gender]]="F","Female",orders[[#This Row],[Customer Gender]]="o","Others",TRUE,"Unknown")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 "Male",orders[[#This Row],[Customer Gender]]="F","Female",orders[[#This Row],[Customer Gender]]="o","Others",TRUE,"Unknown")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 "Male",orders[[#This Row],[Customer Gender]]="F","Female",orders[[#This Row],[Customer Gender]]="o","Others",TRUE,"Unknown")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 "Male",orders[[#This Row],[Customer Gender]]="F","Female",orders[[#This Row],[Customer Gender]]="o","Others",TRUE,"Unknown")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 "Male",orders[[#This Row],[Customer Gender]]="F","Female",orders[[#This Row],[Customer Gender]]="o","Others",TRUE,"Unknown")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 "Male",orders[[#This Row],[Customer Gender]]="F","Female",orders[[#This Row],[Customer Gender]]="o","Others",TRUE,"Unknown")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 "Male",orders[[#This Row],[Customer Gender]]="F","Female",orders[[#This Row],[Customer Gender]]="o","Others",TRUE,"Unknown")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 "Male",orders[[#This Row],[Customer Gender]]="F","Female",orders[[#This Row],[Customer Gender]]="o","Others",TRUE,"Unknown")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 "Male",orders[[#This Row],[Customer Gender]]="F","Female",orders[[#This Row],[Customer Gender]]="o","Others",TRUE,"Unknown")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 "Male",orders[[#This Row],[Customer Gender]]="F","Female",orders[[#This Row],[Customer Gender]]="o","Others",TRUE,"Unknown")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 "Male",orders[[#This Row],[Customer Gender]]="F","Female",orders[[#This Row],[Customer Gender]]="o","Others",TRUE,"Unknown")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 "Male",orders[[#This Row],[Customer Gender]]="F","Female",orders[[#This Row],[Customer Gender]]="o","Others",TRUE,"Unknown")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 "Male",orders[[#This Row],[Customer Gender]]="F","Female",orders[[#This Row],[Customer Gender]]="o","Others",TRUE,"Unknown")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 "Male",orders[[#This Row],[Customer Gender]]="F","Female",orders[[#This Row],[Customer Gender]]="o","Others",TRUE,"Unknown")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 "Male",orders[[#This Row],[Customer Gender]]="F","Female",orders[[#This Row],[Customer Gender]]="o","Others",TRUE,"Unknown")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 "Male",orders[[#This Row],[Customer Gender]]="F","Female",orders[[#This Row],[Customer Gender]]="o","Others",TRUE,"Unknown")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 "Male",orders[[#This Row],[Customer Gender]]="F","Female",orders[[#This Row],[Customer Gender]]="o","Others",TRUE,"Unknown")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 "Male",orders[[#This Row],[Customer Gender]]="F","Female",orders[[#This Row],[Customer Gender]]="o","Others",TRUE,"Unknown")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 "Male",orders[[#This Row],[Customer Gender]]="F","Female",orders[[#This Row],[Customer Gender]]="o","Others",TRUE,"Unknown")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 "Male",orders[[#This Row],[Customer Gender]]="F","Female",orders[[#This Row],[Customer Gender]]="o","Others",TRUE,"Unknown")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 "Male",orders[[#This Row],[Customer Gender]]="F","Female",orders[[#This Row],[Customer Gender]]="o","Others",TRUE,"Unknown")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 "Male",orders[[#This Row],[Customer Gender]]="F","Female",orders[[#This Row],[Customer Gender]]="o","Others",TRUE,"Unknown")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 "Male",orders[[#This Row],[Customer Gender]]="F","Female",orders[[#This Row],[Customer Gender]]="o","Others",TRUE,"Unknown")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 "Male",orders[[#This Row],[Customer Gender]]="F","Female",orders[[#This Row],[Customer Gender]]="o","Others",TRUE,"Unknown")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 "Male",orders[[#This Row],[Customer Gender]]="F","Female",orders[[#This Row],[Customer Gender]]="o","Others",TRUE,"Unknown")</f>
        <v>Others</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 "Male",orders[[#This Row],[Customer Gender]]="F","Female",orders[[#This Row],[Customer Gender]]="o","Others",TRUE,"Unknown")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 "Male",orders[[#This Row],[Customer Gender]]="F","Female",orders[[#This Row],[Customer Gender]]="o","Others",TRUE,"Unknown")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 "Male",orders[[#This Row],[Customer Gender]]="F","Female",orders[[#This Row],[Customer Gender]]="o","Others",TRUE,"Unknown")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 "Male",orders[[#This Row],[Customer Gender]]="F","Female",orders[[#This Row],[Customer Gender]]="o","Others",TRUE,"Unknown")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 "Male",orders[[#This Row],[Customer Gender]]="F","Female",orders[[#This Row],[Customer Gender]]="o","Others",TRUE,"Unknown")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 "Male",orders[[#This Row],[Customer Gender]]="F","Female",orders[[#This Row],[Customer Gender]]="o","Others",TRUE,"Unknown")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 "Male",orders[[#This Row],[Customer Gender]]="F","Female",orders[[#This Row],[Customer Gender]]="o","Others",TRUE,"Unknown")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 "Male",orders[[#This Row],[Customer Gender]]="F","Female",orders[[#This Row],[Customer Gender]]="o","Others",TRUE,"Unknown")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 "Male",orders[[#This Row],[Customer Gender]]="F","Female",orders[[#This Row],[Customer Gender]]="o","Others",TRUE,"Unknown")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 "Male",orders[[#This Row],[Customer Gender]]="F","Female",orders[[#This Row],[Customer Gender]]="o","Others",TRUE,"Unknown")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 "Male",orders[[#This Row],[Customer Gender]]="F","Female",orders[[#This Row],[Customer Gender]]="o","Others",TRUE,"Unknown")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 "Male",orders[[#This Row],[Customer Gender]]="F","Female",orders[[#This Row],[Customer Gender]]="o","Others",TRUE,"Unknown")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 "Male",orders[[#This Row],[Customer Gender]]="F","Female",orders[[#This Row],[Customer Gender]]="o","Others",TRUE,"Unknown")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 "Male",orders[[#This Row],[Customer Gender]]="F","Female",orders[[#This Row],[Customer Gender]]="o","Others",TRUE,"Unknown")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 "Male",orders[[#This Row],[Customer Gender]]="F","Female",orders[[#This Row],[Customer Gender]]="o","Others",TRUE,"Unknown")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 "Male",orders[[#This Row],[Customer Gender]]="F","Female",orders[[#This Row],[Customer Gender]]="o","Others",TRUE,"Unknown")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 "Male",orders[[#This Row],[Customer Gender]]="F","Female",orders[[#This Row],[Customer Gender]]="o","Others",TRUE,"Unknown")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 "Male",orders[[#This Row],[Customer Gender]]="F","Female",orders[[#This Row],[Customer Gender]]="o","Others",TRUE,"Unknown")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 "Male",orders[[#This Row],[Customer Gender]]="F","Female",orders[[#This Row],[Customer Gender]]="o","Others",TRUE,"Unknown")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 "Male",orders[[#This Row],[Customer Gender]]="F","Female",orders[[#This Row],[Customer Gender]]="o","Others",TRUE,"Unknown")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 "Male",orders[[#This Row],[Customer Gender]]="F","Female",orders[[#This Row],[Customer Gender]]="o","Others",TRUE,"Unknown")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 "Male",orders[[#This Row],[Customer Gender]]="F","Female",orders[[#This Row],[Customer Gender]]="o","Others",TRUE,"Unknown")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 "Male",orders[[#This Row],[Customer Gender]]="F","Female",orders[[#This Row],[Customer Gender]]="o","Others",TRUE,"Unknown")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 "Male",orders[[#This Row],[Customer Gender]]="F","Female",orders[[#This Row],[Customer Gender]]="o","Others",TRUE,"Unknown")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 "Male",orders[[#This Row],[Customer Gender]]="F","Female",orders[[#This Row],[Customer Gender]]="o","Others",TRUE,"Unknown")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 "Male",orders[[#This Row],[Customer Gender]]="F","Female",orders[[#This Row],[Customer Gender]]="o","Others",TRUE,"Unknown")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 "Male",orders[[#This Row],[Customer Gender]]="F","Female",orders[[#This Row],[Customer Gender]]="o","Others",TRUE,"Unknown")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 "Male",orders[[#This Row],[Customer Gender]]="F","Female",orders[[#This Row],[Customer Gender]]="o","Others",TRUE,"Unknown")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 "Male",orders[[#This Row],[Customer Gender]]="F","Female",orders[[#This Row],[Customer Gender]]="o","Others",TRUE,"Unknown")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 "Male",orders[[#This Row],[Customer Gender]]="F","Female",orders[[#This Row],[Customer Gender]]="o","Others",TRUE,"Unknown")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 "Male",orders[[#This Row],[Customer Gender]]="F","Female",orders[[#This Row],[Customer Gender]]="o","Others",TRUE,"Unknown")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 "Male",orders[[#This Row],[Customer Gender]]="F","Female",orders[[#This Row],[Customer Gender]]="o","Others",TRUE,"Unknown")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 "Male",orders[[#This Row],[Customer Gender]]="F","Female",orders[[#This Row],[Customer Gender]]="o","Others",TRUE,"Unknown")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 "Male",orders[[#This Row],[Customer Gender]]="F","Female",orders[[#This Row],[Customer Gender]]="o","Others",TRUE,"Unknown")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 "Male",orders[[#This Row],[Customer Gender]]="F","Female",orders[[#This Row],[Customer Gender]]="o","Others",TRUE,"Unknown")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 "Male",orders[[#This Row],[Customer Gender]]="F","Female",orders[[#This Row],[Customer Gender]]="o","Others",TRUE,"Unknown")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 "Male",orders[[#This Row],[Customer Gender]]="F","Female",orders[[#This Row],[Customer Gender]]="o","Others",TRUE,"Unknown")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 "Male",orders[[#This Row],[Customer Gender]]="F","Female",orders[[#This Row],[Customer Gender]]="o","Others",TRUE,"Unknown")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 "Male",orders[[#This Row],[Customer Gender]]="F","Female",orders[[#This Row],[Customer Gender]]="o","Others",TRUE,"Unknown")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 "Male",orders[[#This Row],[Customer Gender]]="F","Female",orders[[#This Row],[Customer Gender]]="o","Others",TRUE,"Unknown")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 "Male",orders[[#This Row],[Customer Gender]]="F","Female",orders[[#This Row],[Customer Gender]]="o","Others",TRUE,"Unknown")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 "Male",orders[[#This Row],[Customer Gender]]="F","Female",orders[[#This Row],[Customer Gender]]="o","Others",TRUE,"Unknown")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 "Male",orders[[#This Row],[Customer Gender]]="F","Female",orders[[#This Row],[Customer Gender]]="o","Others",TRUE,"Unknown")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 "Male",orders[[#This Row],[Customer Gender]]="F","Female",orders[[#This Row],[Customer Gender]]="o","Others",TRUE,"Unknown")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 "Male",orders[[#This Row],[Customer Gender]]="F","Female",orders[[#This Row],[Customer Gender]]="o","Others",TRUE,"Unknown")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 "Male",orders[[#This Row],[Customer Gender]]="F","Female",orders[[#This Row],[Customer Gender]]="o","Others",TRUE,"Unknown")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 "Male",orders[[#This Row],[Customer Gender]]="F","Female",orders[[#This Row],[Customer Gender]]="o","Others",TRUE,"Unknown")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 "Male",orders[[#This Row],[Customer Gender]]="F","Female",orders[[#This Row],[Customer Gender]]="o","Others",TRUE,"Unknown")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 "Male",orders[[#This Row],[Customer Gender]]="F","Female",orders[[#This Row],[Customer Gender]]="o","Others",TRUE,"Unknown")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 "Male",orders[[#This Row],[Customer Gender]]="F","Female",orders[[#This Row],[Customer Gender]]="o","Others",TRUE,"Unknown")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 "Male",orders[[#This Row],[Customer Gender]]="F","Female",orders[[#This Row],[Customer Gender]]="o","Others",TRUE,"Unknown")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 "Male",orders[[#This Row],[Customer Gender]]="F","Female",orders[[#This Row],[Customer Gender]]="o","Others",TRUE,"Unknown")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 "Male",orders[[#This Row],[Customer Gender]]="F","Female",orders[[#This Row],[Customer Gender]]="o","Others",TRUE,"Unknown")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 "Male",orders[[#This Row],[Customer Gender]]="F","Female",orders[[#This Row],[Customer Gender]]="o","Others",TRUE,"Unknown")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 "Male",orders[[#This Row],[Customer Gender]]="F","Female",orders[[#This Row],[Customer Gender]]="o","Others",TRUE,"Unknown")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 "Male",orders[[#This Row],[Customer Gender]]="F","Female",orders[[#This Row],[Customer Gender]]="o","Others",TRUE,"Unknown")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 "Male",orders[[#This Row],[Customer Gender]]="F","Female",orders[[#This Row],[Customer Gender]]="o","Others",TRUE,"Unknown")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 "Male",orders[[#This Row],[Customer Gender]]="F","Female",orders[[#This Row],[Customer Gender]]="o","Others",TRUE,"Unknown")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 "Male",orders[[#This Row],[Customer Gender]]="F","Female",orders[[#This Row],[Customer Gender]]="o","Others",TRUE,"Unknown")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 "Male",orders[[#This Row],[Customer Gender]]="F","Female",orders[[#This Row],[Customer Gender]]="o","Others",TRUE,"Unknown")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 "Male",orders[[#This Row],[Customer Gender]]="F","Female",orders[[#This Row],[Customer Gender]]="o","Others",TRUE,"Unknown")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 "Male",orders[[#This Row],[Customer Gender]]="F","Female",orders[[#This Row],[Customer Gender]]="o","Others",TRUE,"Unknown")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 "Male",orders[[#This Row],[Customer Gender]]="F","Female",orders[[#This Row],[Customer Gender]]="o","Others",TRUE,"Unknown")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 "Male",orders[[#This Row],[Customer Gender]]="F","Female",orders[[#This Row],[Customer Gender]]="o","Others",TRUE,"Unknown")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 "Male",orders[[#This Row],[Customer Gender]]="F","Female",orders[[#This Row],[Customer Gender]]="o","Others",TRUE,"Unknown")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 "Male",orders[[#This Row],[Customer Gender]]="F","Female",orders[[#This Row],[Customer Gender]]="o","Others",TRUE,"Unknown")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 "Male",orders[[#This Row],[Customer Gender]]="F","Female",orders[[#This Row],[Customer Gender]]="o","Others",TRUE,"Unknown")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 "Male",orders[[#This Row],[Customer Gender]]="F","Female",orders[[#This Row],[Customer Gender]]="o","Others",TRUE,"Unknown")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 "Male",orders[[#This Row],[Customer Gender]]="F","Female",orders[[#This Row],[Customer Gender]]="o","Others",TRUE,"Unknown")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 "Male",orders[[#This Row],[Customer Gender]]="F","Female",orders[[#This Row],[Customer Gender]]="o","Others",TRUE,"Unknown")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 "Male",orders[[#This Row],[Customer Gender]]="F","Female",orders[[#This Row],[Customer Gender]]="o","Others",TRUE,"Unknown")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 "Male",orders[[#This Row],[Customer Gender]]="F","Female",orders[[#This Row],[Customer Gender]]="o","Others",TRUE,"Unknown")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 "Male",orders[[#This Row],[Customer Gender]]="F","Female",orders[[#This Row],[Customer Gender]]="o","Others",TRUE,"Unknown")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 "Male",orders[[#This Row],[Customer Gender]]="F","Female",orders[[#This Row],[Customer Gender]]="o","Others",TRUE,"Unknown")</f>
        <v>Others</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 "Male",orders[[#This Row],[Customer Gender]]="F","Female",orders[[#This Row],[Customer Gender]]="o","Others",TRUE,"Unknown")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 "Male",orders[[#This Row],[Customer Gender]]="F","Female",orders[[#This Row],[Customer Gender]]="o","Others",TRUE,"Unknown")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 "Male",orders[[#This Row],[Customer Gender]]="F","Female",orders[[#This Row],[Customer Gender]]="o","Others",TRUE,"Unknown")</f>
        <v>Others</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 "Male",orders[[#This Row],[Customer Gender]]="F","Female",orders[[#This Row],[Customer Gender]]="o","Others",TRUE,"Unknown")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 "Male",orders[[#This Row],[Customer Gender]]="F","Female",orders[[#This Row],[Customer Gender]]="o","Others",TRUE,"Unknown")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 "Male",orders[[#This Row],[Customer Gender]]="F","Female",orders[[#This Row],[Customer Gender]]="o","Others",TRUE,"Unknown")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 "Male",orders[[#This Row],[Customer Gender]]="F","Female",orders[[#This Row],[Customer Gender]]="o","Others",TRUE,"Unknown")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 "Male",orders[[#This Row],[Customer Gender]]="F","Female",orders[[#This Row],[Customer Gender]]="o","Others",TRUE,"Unknown")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 "Male",orders[[#This Row],[Customer Gender]]="F","Female",orders[[#This Row],[Customer Gender]]="o","Others",TRUE,"Unknown")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 "Male",orders[[#This Row],[Customer Gender]]="F","Female",orders[[#This Row],[Customer Gender]]="o","Others",TRUE,"Unknown")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 "Male",orders[[#This Row],[Customer Gender]]="F","Female",orders[[#This Row],[Customer Gender]]="o","Others",TRUE,"Unknown")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 "Male",orders[[#This Row],[Customer Gender]]="F","Female",orders[[#This Row],[Customer Gender]]="o","Others",TRUE,"Unknown")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 "Male",orders[[#This Row],[Customer Gender]]="F","Female",orders[[#This Row],[Customer Gender]]="o","Others",TRUE,"Unknown")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 "Male",orders[[#This Row],[Customer Gender]]="F","Female",orders[[#This Row],[Customer Gender]]="o","Others",TRUE,"Unknown")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 "Male",orders[[#This Row],[Customer Gender]]="F","Female",orders[[#This Row],[Customer Gender]]="o","Others",TRUE,"Unknown")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 "Male",orders[[#This Row],[Customer Gender]]="F","Female",orders[[#This Row],[Customer Gender]]="o","Others",TRUE,"Unknown")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 "Male",orders[[#This Row],[Customer Gender]]="F","Female",orders[[#This Row],[Customer Gender]]="o","Others",TRUE,"Unknown")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 "Male",orders[[#This Row],[Customer Gender]]="F","Female",orders[[#This Row],[Customer Gender]]="o","Others",TRUE,"Unknown")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 "Male",orders[[#This Row],[Customer Gender]]="F","Female",orders[[#This Row],[Customer Gender]]="o","Others",TRUE,"Unknown")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 "Male",orders[[#This Row],[Customer Gender]]="F","Female",orders[[#This Row],[Customer Gender]]="o","Others",TRUE,"Unknown")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 "Male",orders[[#This Row],[Customer Gender]]="F","Female",orders[[#This Row],[Customer Gender]]="o","Others",TRUE,"Unknown")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 "Male",orders[[#This Row],[Customer Gender]]="F","Female",orders[[#This Row],[Customer Gender]]="o","Others",TRUE,"Unknown")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 "Male",orders[[#This Row],[Customer Gender]]="F","Female",orders[[#This Row],[Customer Gender]]="o","Others",TRUE,"Unknown")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 "Male",orders[[#This Row],[Customer Gender]]="F","Female",orders[[#This Row],[Customer Gender]]="o","Others",TRUE,"Unknown")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 "Male",orders[[#This Row],[Customer Gender]]="F","Female",orders[[#This Row],[Customer Gender]]="o","Others",TRUE,"Unknown")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 "Male",orders[[#This Row],[Customer Gender]]="F","Female",orders[[#This Row],[Customer Gender]]="o","Others",TRUE,"Unknown")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 "Male",orders[[#This Row],[Customer Gender]]="F","Female",orders[[#This Row],[Customer Gender]]="o","Others",TRUE,"Unknown")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 "Male",orders[[#This Row],[Customer Gender]]="F","Female",orders[[#This Row],[Customer Gender]]="o","Others",TRUE,"Unknown")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 "Male",orders[[#This Row],[Customer Gender]]="F","Female",orders[[#This Row],[Customer Gender]]="o","Others",TRUE,"Unknown")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 "Male",orders[[#This Row],[Customer Gender]]="F","Female",orders[[#This Row],[Customer Gender]]="o","Others",TRUE,"Unknown")</f>
        <v>Others</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 "Male",orders[[#This Row],[Customer Gender]]="F","Female",orders[[#This Row],[Customer Gender]]="o","Others",TRUE,"Unknown")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 "Male",orders[[#This Row],[Customer Gender]]="F","Female",orders[[#This Row],[Customer Gender]]="o","Others",TRUE,"Unknown")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 "Male",orders[[#This Row],[Customer Gender]]="F","Female",orders[[#This Row],[Customer Gender]]="o","Others",TRUE,"Unknown")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 "Male",orders[[#This Row],[Customer Gender]]="F","Female",orders[[#This Row],[Customer Gender]]="o","Others",TRUE,"Unknown")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 "Male",orders[[#This Row],[Customer Gender]]="F","Female",orders[[#This Row],[Customer Gender]]="o","Others",TRUE,"Unknown")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 "Male",orders[[#This Row],[Customer Gender]]="F","Female",orders[[#This Row],[Customer Gender]]="o","Others",TRUE,"Unknown")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 "Male",orders[[#This Row],[Customer Gender]]="F","Female",orders[[#This Row],[Customer Gender]]="o","Others",TRUE,"Unknown")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 "Male",orders[[#This Row],[Customer Gender]]="F","Female",orders[[#This Row],[Customer Gender]]="o","Others",TRUE,"Unknown")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 "Male",orders[[#This Row],[Customer Gender]]="F","Female",orders[[#This Row],[Customer Gender]]="o","Others",TRUE,"Unknown")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 "Male",orders[[#This Row],[Customer Gender]]="F","Female",orders[[#This Row],[Customer Gender]]="o","Others",TRUE,"Unknown")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 "Male",orders[[#This Row],[Customer Gender]]="F","Female",orders[[#This Row],[Customer Gender]]="o","Others",TRUE,"Unknown")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 "Male",orders[[#This Row],[Customer Gender]]="F","Female",orders[[#This Row],[Customer Gender]]="o","Others",TRUE,"Unknown")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 "Male",orders[[#This Row],[Customer Gender]]="F","Female",orders[[#This Row],[Customer Gender]]="o","Others",TRUE,"Unknown")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 "Male",orders[[#This Row],[Customer Gender]]="F","Female",orders[[#This Row],[Customer Gender]]="o","Others",TRUE,"Unknown")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 "Male",orders[[#This Row],[Customer Gender]]="F","Female",orders[[#This Row],[Customer Gender]]="o","Others",TRUE,"Unknown")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 "Male",orders[[#This Row],[Customer Gender]]="F","Female",orders[[#This Row],[Customer Gender]]="o","Others",TRUE,"Unknown")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 "Male",orders[[#This Row],[Customer Gender]]="F","Female",orders[[#This Row],[Customer Gender]]="o","Others",TRUE,"Unknown")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 "Male",orders[[#This Row],[Customer Gender]]="F","Female",orders[[#This Row],[Customer Gender]]="o","Others",TRUE,"Unknown")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 "Male",orders[[#This Row],[Customer Gender]]="F","Female",orders[[#This Row],[Customer Gender]]="o","Others",TRUE,"Unknown")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 "Male",orders[[#This Row],[Customer Gender]]="F","Female",orders[[#This Row],[Customer Gender]]="o","Others",TRUE,"Unknown")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 "Male",orders[[#This Row],[Customer Gender]]="F","Female",orders[[#This Row],[Customer Gender]]="o","Others",TRUE,"Unknown")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 "Male",orders[[#This Row],[Customer Gender]]="F","Female",orders[[#This Row],[Customer Gender]]="o","Others",TRUE,"Unknown")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 "Male",orders[[#This Row],[Customer Gender]]="F","Female",orders[[#This Row],[Customer Gender]]="o","Others",TRUE,"Unknown")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 "Male",orders[[#This Row],[Customer Gender]]="F","Female",orders[[#This Row],[Customer Gender]]="o","Others",TRUE,"Unknown")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 "Male",orders[[#This Row],[Customer Gender]]="F","Female",orders[[#This Row],[Customer Gender]]="o","Others",TRUE,"Unknown")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 "Male",orders[[#This Row],[Customer Gender]]="F","Female",orders[[#This Row],[Customer Gender]]="o","Others",TRUE,"Unknown")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 "Male",orders[[#This Row],[Customer Gender]]="F","Female",orders[[#This Row],[Customer Gender]]="o","Others",TRUE,"Unknown")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 "Male",orders[[#This Row],[Customer Gender]]="F","Female",orders[[#This Row],[Customer Gender]]="o","Others",TRUE,"Unknown")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 "Male",orders[[#This Row],[Customer Gender]]="F","Female",orders[[#This Row],[Customer Gender]]="o","Others",TRUE,"Unknown")</f>
        <v>Others</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 "Male",orders[[#This Row],[Customer Gender]]="F","Female",orders[[#This Row],[Customer Gender]]="o","Others",TRUE,"Unknown")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 "Male",orders[[#This Row],[Customer Gender]]="F","Female",orders[[#This Row],[Customer Gender]]="o","Others",TRUE,"Unknown")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 "Male",orders[[#This Row],[Customer Gender]]="F","Female",orders[[#This Row],[Customer Gender]]="o","Others",TRUE,"Unknown")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 "Male",orders[[#This Row],[Customer Gender]]="F","Female",orders[[#This Row],[Customer Gender]]="o","Others",TRUE,"Unknown")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 "Male",orders[[#This Row],[Customer Gender]]="F","Female",orders[[#This Row],[Customer Gender]]="o","Others",TRUE,"Unknown")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 "Male",orders[[#This Row],[Customer Gender]]="F","Female",orders[[#This Row],[Customer Gender]]="o","Others",TRUE,"Unknown")</f>
        <v>Others</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 "Male",orders[[#This Row],[Customer Gender]]="F","Female",orders[[#This Row],[Customer Gender]]="o","Others",TRUE,"Unknown")</f>
        <v>Others</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 "Male",orders[[#This Row],[Customer Gender]]="F","Female",orders[[#This Row],[Customer Gender]]="o","Others",TRUE,"Unknown")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 "Male",orders[[#This Row],[Customer Gender]]="F","Female",orders[[#This Row],[Customer Gender]]="o","Others",TRUE,"Unknown")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 "Male",orders[[#This Row],[Customer Gender]]="F","Female",orders[[#This Row],[Customer Gender]]="o","Others",TRUE,"Unknown")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 "Male",orders[[#This Row],[Customer Gender]]="F","Female",orders[[#This Row],[Customer Gender]]="o","Others",TRUE,"Unknown")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 "Male",orders[[#This Row],[Customer Gender]]="F","Female",orders[[#This Row],[Customer Gender]]="o","Others",TRUE,"Unknown")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 "Male",orders[[#This Row],[Customer Gender]]="F","Female",orders[[#This Row],[Customer Gender]]="o","Others",TRUE,"Unknown")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 "Male",orders[[#This Row],[Customer Gender]]="F","Female",orders[[#This Row],[Customer Gender]]="o","Others",TRUE,"Unknown")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 "Male",orders[[#This Row],[Customer Gender]]="F","Female",orders[[#This Row],[Customer Gender]]="o","Others",TRUE,"Unknown")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 "Male",orders[[#This Row],[Customer Gender]]="F","Female",orders[[#This Row],[Customer Gender]]="o","Others",TRUE,"Unknown")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 "Male",orders[[#This Row],[Customer Gender]]="F","Female",orders[[#This Row],[Customer Gender]]="o","Others",TRUE,"Unknown")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 "Male",orders[[#This Row],[Customer Gender]]="F","Female",orders[[#This Row],[Customer Gender]]="o","Others",TRUE,"Unknown")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 "Male",orders[[#This Row],[Customer Gender]]="F","Female",orders[[#This Row],[Customer Gender]]="o","Others",TRUE,"Unknown")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 "Male",orders[[#This Row],[Customer Gender]]="F","Female",orders[[#This Row],[Customer Gender]]="o","Others",TRUE,"Unknown")</f>
        <v>Others</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 "Male",orders[[#This Row],[Customer Gender]]="F","Female",orders[[#This Row],[Customer Gender]]="o","Others",TRUE,"Unknown")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 "Male",orders[[#This Row],[Customer Gender]]="F","Female",orders[[#This Row],[Customer Gender]]="o","Others",TRUE,"Unknown")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 "Male",orders[[#This Row],[Customer Gender]]="F","Female",orders[[#This Row],[Customer Gender]]="o","Others",TRUE,"Unknown")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 "Male",orders[[#This Row],[Customer Gender]]="F","Female",orders[[#This Row],[Customer Gender]]="o","Others",TRUE,"Unknown")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 "Male",orders[[#This Row],[Customer Gender]]="F","Female",orders[[#This Row],[Customer Gender]]="o","Others",TRUE,"Unknown")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 "Male",orders[[#This Row],[Customer Gender]]="F","Female",orders[[#This Row],[Customer Gender]]="o","Others",TRUE,"Unknown")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 "Male",orders[[#This Row],[Customer Gender]]="F","Female",orders[[#This Row],[Customer Gender]]="o","Others",TRUE,"Unknown")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 "Male",orders[[#This Row],[Customer Gender]]="F","Female",orders[[#This Row],[Customer Gender]]="o","Others",TRUE,"Unknown")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 "Male",orders[[#This Row],[Customer Gender]]="F","Female",orders[[#This Row],[Customer Gender]]="o","Others",TRUE,"Unknown")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 "Male",orders[[#This Row],[Customer Gender]]="F","Female",orders[[#This Row],[Customer Gender]]="o","Others",TRUE,"Unknown")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 "Male",orders[[#This Row],[Customer Gender]]="F","Female",orders[[#This Row],[Customer Gender]]="o","Others",TRUE,"Unknown")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 "Male",orders[[#This Row],[Customer Gender]]="F","Female",orders[[#This Row],[Customer Gender]]="o","Others",TRUE,"Unknown")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 "Male",orders[[#This Row],[Customer Gender]]="F","Female",orders[[#This Row],[Customer Gender]]="o","Others",TRUE,"Unknown")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 "Male",orders[[#This Row],[Customer Gender]]="F","Female",orders[[#This Row],[Customer Gender]]="o","Others",TRUE,"Unknown")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 "Male",orders[[#This Row],[Customer Gender]]="F","Female",orders[[#This Row],[Customer Gender]]="o","Others",TRUE,"Unknown")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 "Male",orders[[#This Row],[Customer Gender]]="F","Female",orders[[#This Row],[Customer Gender]]="o","Others",TRUE,"Unknown")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 "Male",orders[[#This Row],[Customer Gender]]="F","Female",orders[[#This Row],[Customer Gender]]="o","Others",TRUE,"Unknown")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 "Male",orders[[#This Row],[Customer Gender]]="F","Female",orders[[#This Row],[Customer Gender]]="o","Others",TRUE,"Unknown")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 "Male",orders[[#This Row],[Customer Gender]]="F","Female",orders[[#This Row],[Customer Gender]]="o","Others",TRUE,"Unknown")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 "Male",orders[[#This Row],[Customer Gender]]="F","Female",orders[[#This Row],[Customer Gender]]="o","Others",TRUE,"Unknown")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 "Male",orders[[#This Row],[Customer Gender]]="F","Female",orders[[#This Row],[Customer Gender]]="o","Others",TRUE,"Unknown")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 "Male",orders[[#This Row],[Customer Gender]]="F","Female",orders[[#This Row],[Customer Gender]]="o","Others",TRUE,"Unknown")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 "Male",orders[[#This Row],[Customer Gender]]="F","Female",orders[[#This Row],[Customer Gender]]="o","Others",TRUE,"Unknown")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 "Male",orders[[#This Row],[Customer Gender]]="F","Female",orders[[#This Row],[Customer Gender]]="o","Others",TRUE,"Unknown")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 "Male",orders[[#This Row],[Customer Gender]]="F","Female",orders[[#This Row],[Customer Gender]]="o","Others",TRUE,"Unknown")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 "Male",orders[[#This Row],[Customer Gender]]="F","Female",orders[[#This Row],[Customer Gender]]="o","Others",TRUE,"Unknown")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 "Male",orders[[#This Row],[Customer Gender]]="F","Female",orders[[#This Row],[Customer Gender]]="o","Others",TRUE,"Unknown")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 "Male",orders[[#This Row],[Customer Gender]]="F","Female",orders[[#This Row],[Customer Gender]]="o","Others",TRUE,"Unknown")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 "Male",orders[[#This Row],[Customer Gender]]="F","Female",orders[[#This Row],[Customer Gender]]="o","Others",TRUE,"Unknown")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 "Male",orders[[#This Row],[Customer Gender]]="F","Female",orders[[#This Row],[Customer Gender]]="o","Others",TRUE,"Unknown")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 "Male",orders[[#This Row],[Customer Gender]]="F","Female",orders[[#This Row],[Customer Gender]]="o","Others",TRUE,"Unknown")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 "Male",orders[[#This Row],[Customer Gender]]="F","Female",orders[[#This Row],[Customer Gender]]="o","Others",TRUE,"Unknown")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 "Male",orders[[#This Row],[Customer Gender]]="F","Female",orders[[#This Row],[Customer Gender]]="o","Others",TRUE,"Unknown")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 "Male",orders[[#This Row],[Customer Gender]]="F","Female",orders[[#This Row],[Customer Gender]]="o","Others",TRUE,"Unknown")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 "Male",orders[[#This Row],[Customer Gender]]="F","Female",orders[[#This Row],[Customer Gender]]="o","Others",TRUE,"Unknown")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 "Male",orders[[#This Row],[Customer Gender]]="F","Female",orders[[#This Row],[Customer Gender]]="o","Others",TRUE,"Unknown")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 "Male",orders[[#This Row],[Customer Gender]]="F","Female",orders[[#This Row],[Customer Gender]]="o","Others",TRUE,"Unknown")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 "Male",orders[[#This Row],[Customer Gender]]="F","Female",orders[[#This Row],[Customer Gender]]="o","Others",TRUE,"Unknown")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 "Male",orders[[#This Row],[Customer Gender]]="F","Female",orders[[#This Row],[Customer Gender]]="o","Others",TRUE,"Unknown")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 "Male",orders[[#This Row],[Customer Gender]]="F","Female",orders[[#This Row],[Customer Gender]]="o","Others",TRUE,"Unknown")</f>
        <v>Others</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 "Male",orders[[#This Row],[Customer Gender]]="F","Female",orders[[#This Row],[Customer Gender]]="o","Others",TRUE,"Unknown")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 "Male",orders[[#This Row],[Customer Gender]]="F","Female",orders[[#This Row],[Customer Gender]]="o","Others",TRUE,"Unknown")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 "Male",orders[[#This Row],[Customer Gender]]="F","Female",orders[[#This Row],[Customer Gender]]="o","Others",TRUE,"Unknown")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 "Male",orders[[#This Row],[Customer Gender]]="F","Female",orders[[#This Row],[Customer Gender]]="o","Others",TRUE,"Unknown")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 "Male",orders[[#This Row],[Customer Gender]]="F","Female",orders[[#This Row],[Customer Gender]]="o","Others",TRUE,"Unknown")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 "Male",orders[[#This Row],[Customer Gender]]="F","Female",orders[[#This Row],[Customer Gender]]="o","Others",TRUE,"Unknown")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 "Male",orders[[#This Row],[Customer Gender]]="F","Female",orders[[#This Row],[Customer Gender]]="o","Others",TRUE,"Unknown")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 "Male",orders[[#This Row],[Customer Gender]]="F","Female",orders[[#This Row],[Customer Gender]]="o","Others",TRUE,"Unknown")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 "Male",orders[[#This Row],[Customer Gender]]="F","Female",orders[[#This Row],[Customer Gender]]="o","Others",TRUE,"Unknown")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 "Male",orders[[#This Row],[Customer Gender]]="F","Female",orders[[#This Row],[Customer Gender]]="o","Others",TRUE,"Unknown")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 "Male",orders[[#This Row],[Customer Gender]]="F","Female",orders[[#This Row],[Customer Gender]]="o","Others",TRUE,"Unknown")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 "Male",orders[[#This Row],[Customer Gender]]="F","Female",orders[[#This Row],[Customer Gender]]="o","Others",TRUE,"Unknown")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 "Male",orders[[#This Row],[Customer Gender]]="F","Female",orders[[#This Row],[Customer Gender]]="o","Others",TRUE,"Unknown")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 "Male",orders[[#This Row],[Customer Gender]]="F","Female",orders[[#This Row],[Customer Gender]]="o","Others",TRUE,"Unknown")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 "Male",orders[[#This Row],[Customer Gender]]="F","Female",orders[[#This Row],[Customer Gender]]="o","Others",TRUE,"Unknown")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 "Male",orders[[#This Row],[Customer Gender]]="F","Female",orders[[#This Row],[Customer Gender]]="o","Others",TRUE,"Unknown")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 "Male",orders[[#This Row],[Customer Gender]]="F","Female",orders[[#This Row],[Customer Gender]]="o","Others",TRUE,"Unknown")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 "Male",orders[[#This Row],[Customer Gender]]="F","Female",orders[[#This Row],[Customer Gender]]="o","Others",TRUE,"Unknown")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 "Male",orders[[#This Row],[Customer Gender]]="F","Female",orders[[#This Row],[Customer Gender]]="o","Others",TRUE,"Unknown")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 "Male",orders[[#This Row],[Customer Gender]]="F","Female",orders[[#This Row],[Customer Gender]]="o","Others",TRUE,"Unknown")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 "Male",orders[[#This Row],[Customer Gender]]="F","Female",orders[[#This Row],[Customer Gender]]="o","Others",TRUE,"Unknown")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 "Male",orders[[#This Row],[Customer Gender]]="F","Female",orders[[#This Row],[Customer Gender]]="o","Others",TRUE,"Unknown")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 "Male",orders[[#This Row],[Customer Gender]]="F","Female",orders[[#This Row],[Customer Gender]]="o","Others",TRUE,"Unknown")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 "Male",orders[[#This Row],[Customer Gender]]="F","Female",orders[[#This Row],[Customer Gender]]="o","Others",TRUE,"Unknown")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 "Male",orders[[#This Row],[Customer Gender]]="F","Female",orders[[#This Row],[Customer Gender]]="o","Others",TRUE,"Unknown")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 "Male",orders[[#This Row],[Customer Gender]]="F","Female",orders[[#This Row],[Customer Gender]]="o","Others",TRUE,"Unknown")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 "Male",orders[[#This Row],[Customer Gender]]="F","Female",orders[[#This Row],[Customer Gender]]="o","Others",TRUE,"Unknown")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 "Male",orders[[#This Row],[Customer Gender]]="F","Female",orders[[#This Row],[Customer Gender]]="o","Others",TRUE,"Unknown")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 "Male",orders[[#This Row],[Customer Gender]]="F","Female",orders[[#This Row],[Customer Gender]]="o","Others",TRUE,"Unknown")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 "Male",orders[[#This Row],[Customer Gender]]="F","Female",orders[[#This Row],[Customer Gender]]="o","Others",TRUE,"Unknown")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 "Male",orders[[#This Row],[Customer Gender]]="F","Female",orders[[#This Row],[Customer Gender]]="o","Others",TRUE,"Unknown")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 "Male",orders[[#This Row],[Customer Gender]]="F","Female",orders[[#This Row],[Customer Gender]]="o","Others",TRUE,"Unknown")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 "Male",orders[[#This Row],[Customer Gender]]="F","Female",orders[[#This Row],[Customer Gender]]="o","Others",TRUE,"Unknown")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 "Male",orders[[#This Row],[Customer Gender]]="F","Female",orders[[#This Row],[Customer Gender]]="o","Others",TRUE,"Unknown")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 "Male",orders[[#This Row],[Customer Gender]]="F","Female",orders[[#This Row],[Customer Gender]]="o","Others",TRUE,"Unknown")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 "Male",orders[[#This Row],[Customer Gender]]="F","Female",orders[[#This Row],[Customer Gender]]="o","Others",TRUE,"Unknown")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 "Male",orders[[#This Row],[Customer Gender]]="F","Female",orders[[#This Row],[Customer Gender]]="o","Others",TRUE,"Unknown")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 "Male",orders[[#This Row],[Customer Gender]]="F","Female",orders[[#This Row],[Customer Gender]]="o","Others",TRUE,"Unknown")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 "Male",orders[[#This Row],[Customer Gender]]="F","Female",orders[[#This Row],[Customer Gender]]="o","Others",TRUE,"Unknown")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 "Male",orders[[#This Row],[Customer Gender]]="F","Female",orders[[#This Row],[Customer Gender]]="o","Others",TRUE,"Unknown")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 "Male",orders[[#This Row],[Customer Gender]]="F","Female",orders[[#This Row],[Customer Gender]]="o","Others",TRUE,"Unknown")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 "Male",orders[[#This Row],[Customer Gender]]="F","Female",orders[[#This Row],[Customer Gender]]="o","Others",TRUE,"Unknown")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 "Male",orders[[#This Row],[Customer Gender]]="F","Female",orders[[#This Row],[Customer Gender]]="o","Others",TRUE,"Unknown")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 "Male",orders[[#This Row],[Customer Gender]]="F","Female",orders[[#This Row],[Customer Gender]]="o","Others",TRUE,"Unknown")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 "Male",orders[[#This Row],[Customer Gender]]="F","Female",orders[[#This Row],[Customer Gender]]="o","Others",TRUE,"Unknown")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 "Male",orders[[#This Row],[Customer Gender]]="F","Female",orders[[#This Row],[Customer Gender]]="o","Others",TRUE,"Unknown")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 "Male",orders[[#This Row],[Customer Gender]]="F","Female",orders[[#This Row],[Customer Gender]]="o","Others",TRUE,"Unknown")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 "Male",orders[[#This Row],[Customer Gender]]="F","Female",orders[[#This Row],[Customer Gender]]="o","Others",TRUE,"Unknown")</f>
        <v>Others</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 "Male",orders[[#This Row],[Customer Gender]]="F","Female",orders[[#This Row],[Customer Gender]]="o","Others",TRUE,"Unknown")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 "Male",orders[[#This Row],[Customer Gender]]="F","Female",orders[[#This Row],[Customer Gender]]="o","Others",TRUE,"Unknown")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 "Male",orders[[#This Row],[Customer Gender]]="F","Female",orders[[#This Row],[Customer Gender]]="o","Others",TRUE,"Unknown")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 "Male",orders[[#This Row],[Customer Gender]]="F","Female",orders[[#This Row],[Customer Gender]]="o","Others",TRUE,"Unknown")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 "Male",orders[[#This Row],[Customer Gender]]="F","Female",orders[[#This Row],[Customer Gender]]="o","Others",TRUE,"Unknown")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 "Male",orders[[#This Row],[Customer Gender]]="F","Female",orders[[#This Row],[Customer Gender]]="o","Others",TRUE,"Unknown")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 "Male",orders[[#This Row],[Customer Gender]]="F","Female",orders[[#This Row],[Customer Gender]]="o","Others",TRUE,"Unknown")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 "Male",orders[[#This Row],[Customer Gender]]="F","Female",orders[[#This Row],[Customer Gender]]="o","Others",TRUE,"Unknown")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 "Male",orders[[#This Row],[Customer Gender]]="F","Female",orders[[#This Row],[Customer Gender]]="o","Others",TRUE,"Unknown")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 "Male",orders[[#This Row],[Customer Gender]]="F","Female",orders[[#This Row],[Customer Gender]]="o","Others",TRUE,"Unknown")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 "Male",orders[[#This Row],[Customer Gender]]="F","Female",orders[[#This Row],[Customer Gender]]="o","Others",TRUE,"Unknown")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 "Male",orders[[#This Row],[Customer Gender]]="F","Female",orders[[#This Row],[Customer Gender]]="o","Others",TRUE,"Unknown")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 "Male",orders[[#This Row],[Customer Gender]]="F","Female",orders[[#This Row],[Customer Gender]]="o","Others",TRUE,"Unknown")</f>
        <v>Others</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 "Male",orders[[#This Row],[Customer Gender]]="F","Female",orders[[#This Row],[Customer Gender]]="o","Others",TRUE,"Unknown")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 "Male",orders[[#This Row],[Customer Gender]]="F","Female",orders[[#This Row],[Customer Gender]]="o","Others",TRUE,"Unknown")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 "Male",orders[[#This Row],[Customer Gender]]="F","Female",orders[[#This Row],[Customer Gender]]="o","Others",TRUE,"Unknown")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 "Male",orders[[#This Row],[Customer Gender]]="F","Female",orders[[#This Row],[Customer Gender]]="o","Others",TRUE,"Unknown")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 "Male",orders[[#This Row],[Customer Gender]]="F","Female",orders[[#This Row],[Customer Gender]]="o","Others",TRUE,"Unknown")</f>
        <v>Others</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 "Male",orders[[#This Row],[Customer Gender]]="F","Female",orders[[#This Row],[Customer Gender]]="o","Others",TRUE,"Unknown")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 "Male",orders[[#This Row],[Customer Gender]]="F","Female",orders[[#This Row],[Customer Gender]]="o","Others",TRUE,"Unknown")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 "Male",orders[[#This Row],[Customer Gender]]="F","Female",orders[[#This Row],[Customer Gender]]="o","Others",TRUE,"Unknown")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 "Male",orders[[#This Row],[Customer Gender]]="F","Female",orders[[#This Row],[Customer Gender]]="o","Others",TRUE,"Unknown")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 "Male",orders[[#This Row],[Customer Gender]]="F","Female",orders[[#This Row],[Customer Gender]]="o","Others",TRUE,"Unknown")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 "Male",orders[[#This Row],[Customer Gender]]="F","Female",orders[[#This Row],[Customer Gender]]="o","Others",TRUE,"Unknown")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 "Male",orders[[#This Row],[Customer Gender]]="F","Female",orders[[#This Row],[Customer Gender]]="o","Others",TRUE,"Unknown")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 "Male",orders[[#This Row],[Customer Gender]]="F","Female",orders[[#This Row],[Customer Gender]]="o","Others",TRUE,"Unknown")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 "Male",orders[[#This Row],[Customer Gender]]="F","Female",orders[[#This Row],[Customer Gender]]="o","Others",TRUE,"Unknown")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 "Male",orders[[#This Row],[Customer Gender]]="F","Female",orders[[#This Row],[Customer Gender]]="o","Others",TRUE,"Unknown")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 "Male",orders[[#This Row],[Customer Gender]]="F","Female",orders[[#This Row],[Customer Gender]]="o","Others",TRUE,"Unknown")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 "Male",orders[[#This Row],[Customer Gender]]="F","Female",orders[[#This Row],[Customer Gender]]="o","Others",TRUE,"Unknown")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 "Male",orders[[#This Row],[Customer Gender]]="F","Female",orders[[#This Row],[Customer Gender]]="o","Others",TRUE,"Unknown")</f>
        <v>Others</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 "Male",orders[[#This Row],[Customer Gender]]="F","Female",orders[[#This Row],[Customer Gender]]="o","Others",TRUE,"Unknown")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 "Male",orders[[#This Row],[Customer Gender]]="F","Female",orders[[#This Row],[Customer Gender]]="o","Others",TRUE,"Unknown")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 "Male",orders[[#This Row],[Customer Gender]]="F","Female",orders[[#This Row],[Customer Gender]]="o","Others",TRUE,"Unknown")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 "Male",orders[[#This Row],[Customer Gender]]="F","Female",orders[[#This Row],[Customer Gender]]="o","Others",TRUE,"Unknown")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 "Male",orders[[#This Row],[Customer Gender]]="F","Female",orders[[#This Row],[Customer Gender]]="o","Others",TRUE,"Unknown")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 "Male",orders[[#This Row],[Customer Gender]]="F","Female",orders[[#This Row],[Customer Gender]]="o","Others",TRUE,"Unknown")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 "Male",orders[[#This Row],[Customer Gender]]="F","Female",orders[[#This Row],[Customer Gender]]="o","Others",TRUE,"Unknown")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 "Male",orders[[#This Row],[Customer Gender]]="F","Female",orders[[#This Row],[Customer Gender]]="o","Others",TRUE,"Unknown")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 "Male",orders[[#This Row],[Customer Gender]]="F","Female",orders[[#This Row],[Customer Gender]]="o","Others",TRUE,"Unknown")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 "Male",orders[[#This Row],[Customer Gender]]="F","Female",orders[[#This Row],[Customer Gender]]="o","Others",TRUE,"Unknown")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 "Male",orders[[#This Row],[Customer Gender]]="F","Female",orders[[#This Row],[Customer Gender]]="o","Others",TRUE,"Unknown")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 "Male",orders[[#This Row],[Customer Gender]]="F","Female",orders[[#This Row],[Customer Gender]]="o","Others",TRUE,"Unknown")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 "Male",orders[[#This Row],[Customer Gender]]="F","Female",orders[[#This Row],[Customer Gender]]="o","Others",TRUE,"Unknown")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 "Male",orders[[#This Row],[Customer Gender]]="F","Female",orders[[#This Row],[Customer Gender]]="o","Others",TRUE,"Unknown")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 "Male",orders[[#This Row],[Customer Gender]]="F","Female",orders[[#This Row],[Customer Gender]]="o","Others",TRUE,"Unknown")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 "Male",orders[[#This Row],[Customer Gender]]="F","Female",orders[[#This Row],[Customer Gender]]="o","Others",TRUE,"Unknown")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 "Male",orders[[#This Row],[Customer Gender]]="F","Female",orders[[#This Row],[Customer Gender]]="o","Others",TRUE,"Unknown")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 "Male",orders[[#This Row],[Customer Gender]]="F","Female",orders[[#This Row],[Customer Gender]]="o","Others",TRUE,"Unknown")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 "Male",orders[[#This Row],[Customer Gender]]="F","Female",orders[[#This Row],[Customer Gender]]="o","Others",TRUE,"Unknown")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 "Male",orders[[#This Row],[Customer Gender]]="F","Female",orders[[#This Row],[Customer Gender]]="o","Others",TRUE,"Unknown")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 "Male",orders[[#This Row],[Customer Gender]]="F","Female",orders[[#This Row],[Customer Gender]]="o","Others",TRUE,"Unknown")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 "Male",orders[[#This Row],[Customer Gender]]="F","Female",orders[[#This Row],[Customer Gender]]="o","Others",TRUE,"Unknown")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 "Male",orders[[#This Row],[Customer Gender]]="F","Female",orders[[#This Row],[Customer Gender]]="o","Others",TRUE,"Unknown")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 "Male",orders[[#This Row],[Customer Gender]]="F","Female",orders[[#This Row],[Customer Gender]]="o","Others",TRUE,"Unknown")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 "Male",orders[[#This Row],[Customer Gender]]="F","Female",orders[[#This Row],[Customer Gender]]="o","Others",TRUE,"Unknown")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 "Male",orders[[#This Row],[Customer Gender]]="F","Female",orders[[#This Row],[Customer Gender]]="o","Others",TRUE,"Unknown")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 "Male",orders[[#This Row],[Customer Gender]]="F","Female",orders[[#This Row],[Customer Gender]]="o","Others",TRUE,"Unknown")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 "Male",orders[[#This Row],[Customer Gender]]="F","Female",orders[[#This Row],[Customer Gender]]="o","Others",TRUE,"Unknown")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 "Male",orders[[#This Row],[Customer Gender]]="F","Female",orders[[#This Row],[Customer Gender]]="o","Others",TRUE,"Unknown")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 "Male",orders[[#This Row],[Customer Gender]]="F","Female",orders[[#This Row],[Customer Gender]]="o","Others",TRUE,"Unknown")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 "Male",orders[[#This Row],[Customer Gender]]="F","Female",orders[[#This Row],[Customer Gender]]="o","Others",TRUE,"Unknown")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 "Male",orders[[#This Row],[Customer Gender]]="F","Female",orders[[#This Row],[Customer Gender]]="o","Others",TRUE,"Unknown")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 "Male",orders[[#This Row],[Customer Gender]]="F","Female",orders[[#This Row],[Customer Gender]]="o","Others",TRUE,"Unknown")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 "Male",orders[[#This Row],[Customer Gender]]="F","Female",orders[[#This Row],[Customer Gender]]="o","Others",TRUE,"Unknown")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 "Male",orders[[#This Row],[Customer Gender]]="F","Female",orders[[#This Row],[Customer Gender]]="o","Others",TRUE,"Unknown")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 "Male",orders[[#This Row],[Customer Gender]]="F","Female",orders[[#This Row],[Customer Gender]]="o","Others",TRUE,"Unknown")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 "Male",orders[[#This Row],[Customer Gender]]="F","Female",orders[[#This Row],[Customer Gender]]="o","Others",TRUE,"Unknown")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 "Male",orders[[#This Row],[Customer Gender]]="F","Female",orders[[#This Row],[Customer Gender]]="o","Others",TRUE,"Unknown")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 "Male",orders[[#This Row],[Customer Gender]]="F","Female",orders[[#This Row],[Customer Gender]]="o","Others",TRUE,"Unknown")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 "Male",orders[[#This Row],[Customer Gender]]="F","Female",orders[[#This Row],[Customer Gender]]="o","Others",TRUE,"Unknown")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 "Male",orders[[#This Row],[Customer Gender]]="F","Female",orders[[#This Row],[Customer Gender]]="o","Others",TRUE,"Unknown")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 "Male",orders[[#This Row],[Customer Gender]]="F","Female",orders[[#This Row],[Customer Gender]]="o","Others",TRUE,"Unknown")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 "Male",orders[[#This Row],[Customer Gender]]="F","Female",orders[[#This Row],[Customer Gender]]="o","Others",TRUE,"Unknown")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 "Male",orders[[#This Row],[Customer Gender]]="F","Female",orders[[#This Row],[Customer Gender]]="o","Others",TRUE,"Unknown")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 "Male",orders[[#This Row],[Customer Gender]]="F","Female",orders[[#This Row],[Customer Gender]]="o","Others",TRUE,"Unknown")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 "Male",orders[[#This Row],[Customer Gender]]="F","Female",orders[[#This Row],[Customer Gender]]="o","Others",TRUE,"Unknown")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 "Male",orders[[#This Row],[Customer Gender]]="F","Female",orders[[#This Row],[Customer Gender]]="o","Others",TRUE,"Unknown")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 "Male",orders[[#This Row],[Customer Gender]]="F","Female",orders[[#This Row],[Customer Gender]]="o","Others",TRUE,"Unknown")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 "Male",orders[[#This Row],[Customer Gender]]="F","Female",orders[[#This Row],[Customer Gender]]="o","Others",TRUE,"Unknown")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 "Male",orders[[#This Row],[Customer Gender]]="F","Female",orders[[#This Row],[Customer Gender]]="o","Others",TRUE,"Unknown")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 "Male",orders[[#This Row],[Customer Gender]]="F","Female",orders[[#This Row],[Customer Gender]]="o","Others",TRUE,"Unknown")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 "Male",orders[[#This Row],[Customer Gender]]="F","Female",orders[[#This Row],[Customer Gender]]="o","Others",TRUE,"Unknown")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 "Male",orders[[#This Row],[Customer Gender]]="F","Female",orders[[#This Row],[Customer Gender]]="o","Others",TRUE,"Unknown")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 "Male",orders[[#This Row],[Customer Gender]]="F","Female",orders[[#This Row],[Customer Gender]]="o","Others",TRUE,"Unknown")</f>
        <v>Others</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 "Male",orders[[#This Row],[Customer Gender]]="F","Female",orders[[#This Row],[Customer Gender]]="o","Others",TRUE,"Unknown")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 "Male",orders[[#This Row],[Customer Gender]]="F","Female",orders[[#This Row],[Customer Gender]]="o","Others",TRUE,"Unknown")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 "Male",orders[[#This Row],[Customer Gender]]="F","Female",orders[[#This Row],[Customer Gender]]="o","Others",TRUE,"Unknown")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 "Male",orders[[#This Row],[Customer Gender]]="F","Female",orders[[#This Row],[Customer Gender]]="o","Others",TRUE,"Unknown")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 "Male",orders[[#This Row],[Customer Gender]]="F","Female",orders[[#This Row],[Customer Gender]]="o","Others",TRUE,"Unknown")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 "Male",orders[[#This Row],[Customer Gender]]="F","Female",orders[[#This Row],[Customer Gender]]="o","Others",TRUE,"Unknown")</f>
        <v>Others</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 "Male",orders[[#This Row],[Customer Gender]]="F","Female",orders[[#This Row],[Customer Gender]]="o","Others",TRUE,"Unknown")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 "Male",orders[[#This Row],[Customer Gender]]="F","Female",orders[[#This Row],[Customer Gender]]="o","Others",TRUE,"Unknown")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 "Male",orders[[#This Row],[Customer Gender]]="F","Female",orders[[#This Row],[Customer Gender]]="o","Others",TRUE,"Unknown")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 "Male",orders[[#This Row],[Customer Gender]]="F","Female",orders[[#This Row],[Customer Gender]]="o","Others",TRUE,"Unknown")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 "Male",orders[[#This Row],[Customer Gender]]="F","Female",orders[[#This Row],[Customer Gender]]="o","Others",TRUE,"Unknown")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 "Male",orders[[#This Row],[Customer Gender]]="F","Female",orders[[#This Row],[Customer Gender]]="o","Others",TRUE,"Unknown")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 "Male",orders[[#This Row],[Customer Gender]]="F","Female",orders[[#This Row],[Customer Gender]]="o","Others",TRUE,"Unknown")</f>
        <v>Others</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 "Male",orders[[#This Row],[Customer Gender]]="F","Female",orders[[#This Row],[Customer Gender]]="o","Others",TRUE,"Unknown")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 "Male",orders[[#This Row],[Customer Gender]]="F","Female",orders[[#This Row],[Customer Gender]]="o","Others",TRUE,"Unknown")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 "Male",orders[[#This Row],[Customer Gender]]="F","Female",orders[[#This Row],[Customer Gender]]="o","Others",TRUE,"Unknown")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 "Male",orders[[#This Row],[Customer Gender]]="F","Female",orders[[#This Row],[Customer Gender]]="o","Others",TRUE,"Unknown")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 "Male",orders[[#This Row],[Customer Gender]]="F","Female",orders[[#This Row],[Customer Gender]]="o","Others",TRUE,"Unknown")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 "Male",orders[[#This Row],[Customer Gender]]="F","Female",orders[[#This Row],[Customer Gender]]="o","Others",TRUE,"Unknown")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 "Male",orders[[#This Row],[Customer Gender]]="F","Female",orders[[#This Row],[Customer Gender]]="o","Others",TRUE,"Unknown")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 "Male",orders[[#This Row],[Customer Gender]]="F","Female",orders[[#This Row],[Customer Gender]]="o","Others",TRUE,"Unknown")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 "Male",orders[[#This Row],[Customer Gender]]="F","Female",orders[[#This Row],[Customer Gender]]="o","Others",TRUE,"Unknown")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 "Male",orders[[#This Row],[Customer Gender]]="F","Female",orders[[#This Row],[Customer Gender]]="o","Others",TRUE,"Unknown")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 "Male",orders[[#This Row],[Customer Gender]]="F","Female",orders[[#This Row],[Customer Gender]]="o","Others",TRUE,"Unknown")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 "Male",orders[[#This Row],[Customer Gender]]="F","Female",orders[[#This Row],[Customer Gender]]="o","Others",TRUE,"Unknown")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 "Male",orders[[#This Row],[Customer Gender]]="F","Female",orders[[#This Row],[Customer Gender]]="o","Others",TRUE,"Unknown")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 "Male",orders[[#This Row],[Customer Gender]]="F","Female",orders[[#This Row],[Customer Gender]]="o","Others",TRUE,"Unknown")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 "Male",orders[[#This Row],[Customer Gender]]="F","Female",orders[[#This Row],[Customer Gender]]="o","Others",TRUE,"Unknown")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 "Male",orders[[#This Row],[Customer Gender]]="F","Female",orders[[#This Row],[Customer Gender]]="o","Others",TRUE,"Unknown")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 "Male",orders[[#This Row],[Customer Gender]]="F","Female",orders[[#This Row],[Customer Gender]]="o","Others",TRUE,"Unknown")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 "Male",orders[[#This Row],[Customer Gender]]="F","Female",orders[[#This Row],[Customer Gender]]="o","Others",TRUE,"Unknown")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 "Male",orders[[#This Row],[Customer Gender]]="F","Female",orders[[#This Row],[Customer Gender]]="o","Others",TRUE,"Unknown")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 "Male",orders[[#This Row],[Customer Gender]]="F","Female",orders[[#This Row],[Customer Gender]]="o","Others",TRUE,"Unknown")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 "Male",orders[[#This Row],[Customer Gender]]="F","Female",orders[[#This Row],[Customer Gender]]="o","Others",TRUE,"Unknown")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 "Male",orders[[#This Row],[Customer Gender]]="F","Female",orders[[#This Row],[Customer Gender]]="o","Others",TRUE,"Unknown")</f>
        <v>Others</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 "Male",orders[[#This Row],[Customer Gender]]="F","Female",orders[[#This Row],[Customer Gender]]="o","Others",TRUE,"Unknown")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 "Male",orders[[#This Row],[Customer Gender]]="F","Female",orders[[#This Row],[Customer Gender]]="o","Others",TRUE,"Unknown")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 "Male",orders[[#This Row],[Customer Gender]]="F","Female",orders[[#This Row],[Customer Gender]]="o","Others",TRUE,"Unknown")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 "Male",orders[[#This Row],[Customer Gender]]="F","Female",orders[[#This Row],[Customer Gender]]="o","Others",TRUE,"Unknown")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 "Male",orders[[#This Row],[Customer Gender]]="F","Female",orders[[#This Row],[Customer Gender]]="o","Others",TRUE,"Unknown")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 "Male",orders[[#This Row],[Customer Gender]]="F","Female",orders[[#This Row],[Customer Gender]]="o","Others",TRUE,"Unknown")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 "Male",orders[[#This Row],[Customer Gender]]="F","Female",orders[[#This Row],[Customer Gender]]="o","Others",TRUE,"Unknown")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 "Male",orders[[#This Row],[Customer Gender]]="F","Female",orders[[#This Row],[Customer Gender]]="o","Others",TRUE,"Unknown")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 "Male",orders[[#This Row],[Customer Gender]]="F","Female",orders[[#This Row],[Customer Gender]]="o","Others",TRUE,"Unknown")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 "Male",orders[[#This Row],[Customer Gender]]="F","Female",orders[[#This Row],[Customer Gender]]="o","Others",TRUE,"Unknown")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 "Male",orders[[#This Row],[Customer Gender]]="F","Female",orders[[#This Row],[Customer Gender]]="o","Others",TRUE,"Unknown")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 "Male",orders[[#This Row],[Customer Gender]]="F","Female",orders[[#This Row],[Customer Gender]]="o","Others",TRUE,"Unknown")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 "Male",orders[[#This Row],[Customer Gender]]="F","Female",orders[[#This Row],[Customer Gender]]="o","Others",TRUE,"Unknown")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 "Male",orders[[#This Row],[Customer Gender]]="F","Female",orders[[#This Row],[Customer Gender]]="o","Others",TRUE,"Unknown")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 "Male",orders[[#This Row],[Customer Gender]]="F","Female",orders[[#This Row],[Customer Gender]]="o","Others",TRUE,"Unknown")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 "Male",orders[[#This Row],[Customer Gender]]="F","Female",orders[[#This Row],[Customer Gender]]="o","Others",TRUE,"Unknown")</f>
        <v>Others</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 "Male",orders[[#This Row],[Customer Gender]]="F","Female",orders[[#This Row],[Customer Gender]]="o","Others",TRUE,"Unknown")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 "Male",orders[[#This Row],[Customer Gender]]="F","Female",orders[[#This Row],[Customer Gender]]="o","Others",TRUE,"Unknown")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 "Male",orders[[#This Row],[Customer Gender]]="F","Female",orders[[#This Row],[Customer Gender]]="o","Others",TRUE,"Unknown")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 "Male",orders[[#This Row],[Customer Gender]]="F","Female",orders[[#This Row],[Customer Gender]]="o","Others",TRUE,"Unknown")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 "Male",orders[[#This Row],[Customer Gender]]="F","Female",orders[[#This Row],[Customer Gender]]="o","Others",TRUE,"Unknown")</f>
        <v>Others</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 "Male",orders[[#This Row],[Customer Gender]]="F","Female",orders[[#This Row],[Customer Gender]]="o","Others",TRUE,"Unknown")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 "Male",orders[[#This Row],[Customer Gender]]="F","Female",orders[[#This Row],[Customer Gender]]="o","Others",TRUE,"Unknown")</f>
        <v>Others</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 "Male",orders[[#This Row],[Customer Gender]]="F","Female",orders[[#This Row],[Customer Gender]]="o","Others",TRUE,"Unknown")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 "Male",orders[[#This Row],[Customer Gender]]="F","Female",orders[[#This Row],[Customer Gender]]="o","Others",TRUE,"Unknown")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 "Male",orders[[#This Row],[Customer Gender]]="F","Female",orders[[#This Row],[Customer Gender]]="o","Others",TRUE,"Unknown")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 "Male",orders[[#This Row],[Customer Gender]]="F","Female",orders[[#This Row],[Customer Gender]]="o","Others",TRUE,"Unknown")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 "Male",orders[[#This Row],[Customer Gender]]="F","Female",orders[[#This Row],[Customer Gender]]="o","Others",TRUE,"Unknown")</f>
        <v>Others</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 "Male",orders[[#This Row],[Customer Gender]]="F","Female",orders[[#This Row],[Customer Gender]]="o","Others",TRUE,"Unknown")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 "Male",orders[[#This Row],[Customer Gender]]="F","Female",orders[[#This Row],[Customer Gender]]="o","Others",TRUE,"Unknown")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 "Male",orders[[#This Row],[Customer Gender]]="F","Female",orders[[#This Row],[Customer Gender]]="o","Others",TRUE,"Unknown")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 "Male",orders[[#This Row],[Customer Gender]]="F","Female",orders[[#This Row],[Customer Gender]]="o","Others",TRUE,"Unknown")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 "Male",orders[[#This Row],[Customer Gender]]="F","Female",orders[[#This Row],[Customer Gender]]="o","Others",TRUE,"Unknown")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 "Male",orders[[#This Row],[Customer Gender]]="F","Female",orders[[#This Row],[Customer Gender]]="o","Others",TRUE,"Unknown")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 "Male",orders[[#This Row],[Customer Gender]]="F","Female",orders[[#This Row],[Customer Gender]]="o","Others",TRUE,"Unknown")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 "Male",orders[[#This Row],[Customer Gender]]="F","Female",orders[[#This Row],[Customer Gender]]="o","Others",TRUE,"Unknown")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 "Male",orders[[#This Row],[Customer Gender]]="F","Female",orders[[#This Row],[Customer Gender]]="o","Others",TRUE,"Unknown")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 "Male",orders[[#This Row],[Customer Gender]]="F","Female",orders[[#This Row],[Customer Gender]]="o","Others",TRUE,"Unknown")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 "Male",orders[[#This Row],[Customer Gender]]="F","Female",orders[[#This Row],[Customer Gender]]="o","Others",TRUE,"Unknown")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 "Male",orders[[#This Row],[Customer Gender]]="F","Female",orders[[#This Row],[Customer Gender]]="o","Others",TRUE,"Unknown")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 "Male",orders[[#This Row],[Customer Gender]]="F","Female",orders[[#This Row],[Customer Gender]]="o","Others",TRUE,"Unknown")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 "Male",orders[[#This Row],[Customer Gender]]="F","Female",orders[[#This Row],[Customer Gender]]="o","Others",TRUE,"Unknown")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 "Male",orders[[#This Row],[Customer Gender]]="F","Female",orders[[#This Row],[Customer Gender]]="o","Others",TRUE,"Unknown")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 "Male",orders[[#This Row],[Customer Gender]]="F","Female",orders[[#This Row],[Customer Gender]]="o","Others",TRUE,"Unknown")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 "Male",orders[[#This Row],[Customer Gender]]="F","Female",orders[[#This Row],[Customer Gender]]="o","Others",TRUE,"Unknown")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 "Male",orders[[#This Row],[Customer Gender]]="F","Female",orders[[#This Row],[Customer Gender]]="o","Others",TRUE,"Unknown")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 "Male",orders[[#This Row],[Customer Gender]]="F","Female",orders[[#This Row],[Customer Gender]]="o","Others",TRUE,"Unknown")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 "Male",orders[[#This Row],[Customer Gender]]="F","Female",orders[[#This Row],[Customer Gender]]="o","Others",TRUE,"Unknown")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 "Male",orders[[#This Row],[Customer Gender]]="F","Female",orders[[#This Row],[Customer Gender]]="o","Others",TRUE,"Unknown")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 "Male",orders[[#This Row],[Customer Gender]]="F","Female",orders[[#This Row],[Customer Gender]]="o","Others",TRUE,"Unknown")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 "Male",orders[[#This Row],[Customer Gender]]="F","Female",orders[[#This Row],[Customer Gender]]="o","Others",TRUE,"Unknown")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 "Male",orders[[#This Row],[Customer Gender]]="F","Female",orders[[#This Row],[Customer Gender]]="o","Others",TRUE,"Unknown")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 "Male",orders[[#This Row],[Customer Gender]]="F","Female",orders[[#This Row],[Customer Gender]]="o","Others",TRUE,"Unknown")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 "Male",orders[[#This Row],[Customer Gender]]="F","Female",orders[[#This Row],[Customer Gender]]="o","Others",TRUE,"Unknown")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 "Male",orders[[#This Row],[Customer Gender]]="F","Female",orders[[#This Row],[Customer Gender]]="o","Others",TRUE,"Unknown")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 "Male",orders[[#This Row],[Customer Gender]]="F","Female",orders[[#This Row],[Customer Gender]]="o","Others",TRUE,"Unknown")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 "Male",orders[[#This Row],[Customer Gender]]="F","Female",orders[[#This Row],[Customer Gender]]="o","Others",TRUE,"Unknown")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 "Male",orders[[#This Row],[Customer Gender]]="F","Female",orders[[#This Row],[Customer Gender]]="o","Others",TRUE,"Unknown")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 "Male",orders[[#This Row],[Customer Gender]]="F","Female",orders[[#This Row],[Customer Gender]]="o","Others",TRUE,"Unknown")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 "Male",orders[[#This Row],[Customer Gender]]="F","Female",orders[[#This Row],[Customer Gender]]="o","Others",TRUE,"Unknown")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 "Male",orders[[#This Row],[Customer Gender]]="F","Female",orders[[#This Row],[Customer Gender]]="o","Others",TRUE,"Unknown")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 "Male",orders[[#This Row],[Customer Gender]]="F","Female",orders[[#This Row],[Customer Gender]]="o","Others",TRUE,"Unknown")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 "Male",orders[[#This Row],[Customer Gender]]="F","Female",orders[[#This Row],[Customer Gender]]="o","Others",TRUE,"Unknown")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 "Male",orders[[#This Row],[Customer Gender]]="F","Female",orders[[#This Row],[Customer Gender]]="o","Others",TRUE,"Unknown")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 "Male",orders[[#This Row],[Customer Gender]]="F","Female",orders[[#This Row],[Customer Gender]]="o","Others",TRUE,"Unknown")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 "Male",orders[[#This Row],[Customer Gender]]="F","Female",orders[[#This Row],[Customer Gender]]="o","Others",TRUE,"Unknown")</f>
        <v>Others</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 "Male",orders[[#This Row],[Customer Gender]]="F","Female",orders[[#This Row],[Customer Gender]]="o","Others",TRUE,"Unknown")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 "Male",orders[[#This Row],[Customer Gender]]="F","Female",orders[[#This Row],[Customer Gender]]="o","Others",TRUE,"Unknown")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 "Male",orders[[#This Row],[Customer Gender]]="F","Female",orders[[#This Row],[Customer Gender]]="o","Others",TRUE,"Unknown")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 "Male",orders[[#This Row],[Customer Gender]]="F","Female",orders[[#This Row],[Customer Gender]]="o","Others",TRUE,"Unknown")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 "Male",orders[[#This Row],[Customer Gender]]="F","Female",orders[[#This Row],[Customer Gender]]="o","Others",TRUE,"Unknown")</f>
        <v>Others</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 "Male",orders[[#This Row],[Customer Gender]]="F","Female",orders[[#This Row],[Customer Gender]]="o","Others",TRUE,"Unknown")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 "Male",orders[[#This Row],[Customer Gender]]="F","Female",orders[[#This Row],[Customer Gender]]="o","Others",TRUE,"Unknown")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 "Male",orders[[#This Row],[Customer Gender]]="F","Female",orders[[#This Row],[Customer Gender]]="o","Others",TRUE,"Unknown")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 "Male",orders[[#This Row],[Customer Gender]]="F","Female",orders[[#This Row],[Customer Gender]]="o","Others",TRUE,"Unknown")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 "Male",orders[[#This Row],[Customer Gender]]="F","Female",orders[[#This Row],[Customer Gender]]="o","Others",TRUE,"Unknown")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 "Male",orders[[#This Row],[Customer Gender]]="F","Female",orders[[#This Row],[Customer Gender]]="o","Others",TRUE,"Unknown")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 "Male",orders[[#This Row],[Customer Gender]]="F","Female",orders[[#This Row],[Customer Gender]]="o","Others",TRUE,"Unknown")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 "Male",orders[[#This Row],[Customer Gender]]="F","Female",orders[[#This Row],[Customer Gender]]="o","Others",TRUE,"Unknown")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 "Male",orders[[#This Row],[Customer Gender]]="F","Female",orders[[#This Row],[Customer Gender]]="o","Others",TRUE,"Unknown")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 "Male",orders[[#This Row],[Customer Gender]]="F","Female",orders[[#This Row],[Customer Gender]]="o","Others",TRUE,"Unknown")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 "Male",orders[[#This Row],[Customer Gender]]="F","Female",orders[[#This Row],[Customer Gender]]="o","Others",TRUE,"Unknown")</f>
        <v>Others</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 "Male",orders[[#This Row],[Customer Gender]]="F","Female",orders[[#This Row],[Customer Gender]]="o","Others",TRUE,"Unknown")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 "Male",orders[[#This Row],[Customer Gender]]="F","Female",orders[[#This Row],[Customer Gender]]="o","Others",TRUE,"Unknown")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 "Male",orders[[#This Row],[Customer Gender]]="F","Female",orders[[#This Row],[Customer Gender]]="o","Others",TRUE,"Unknown")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 "Male",orders[[#This Row],[Customer Gender]]="F","Female",orders[[#This Row],[Customer Gender]]="o","Others",TRUE,"Unknown")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 "Male",orders[[#This Row],[Customer Gender]]="F","Female",orders[[#This Row],[Customer Gender]]="o","Others",TRUE,"Unknown")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 "Male",orders[[#This Row],[Customer Gender]]="F","Female",orders[[#This Row],[Customer Gender]]="o","Others",TRUE,"Unknown")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 "Male",orders[[#This Row],[Customer Gender]]="F","Female",orders[[#This Row],[Customer Gender]]="o","Others",TRUE,"Unknown")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 "Male",orders[[#This Row],[Customer Gender]]="F","Female",orders[[#This Row],[Customer Gender]]="o","Others",TRUE,"Unknown")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 "Male",orders[[#This Row],[Customer Gender]]="F","Female",orders[[#This Row],[Customer Gender]]="o","Others",TRUE,"Unknown")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 "Male",orders[[#This Row],[Customer Gender]]="F","Female",orders[[#This Row],[Customer Gender]]="o","Others",TRUE,"Unknown")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 "Male",orders[[#This Row],[Customer Gender]]="F","Female",orders[[#This Row],[Customer Gender]]="o","Others",TRUE,"Unknown")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 "Male",orders[[#This Row],[Customer Gender]]="F","Female",orders[[#This Row],[Customer Gender]]="o","Others",TRUE,"Unknown")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 "Male",orders[[#This Row],[Customer Gender]]="F","Female",orders[[#This Row],[Customer Gender]]="o","Others",TRUE,"Unknown")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 "Male",orders[[#This Row],[Customer Gender]]="F","Female",orders[[#This Row],[Customer Gender]]="o","Others",TRUE,"Unknown")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 "Male",orders[[#This Row],[Customer Gender]]="F","Female",orders[[#This Row],[Customer Gender]]="o","Others",TRUE,"Unknown")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 "Male",orders[[#This Row],[Customer Gender]]="F","Female",orders[[#This Row],[Customer Gender]]="o","Others",TRUE,"Unknown")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 "Male",orders[[#This Row],[Customer Gender]]="F","Female",orders[[#This Row],[Customer Gender]]="o","Others",TRUE,"Unknown")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 "Male",orders[[#This Row],[Customer Gender]]="F","Female",orders[[#This Row],[Customer Gender]]="o","Others",TRUE,"Unknown")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 "Male",orders[[#This Row],[Customer Gender]]="F","Female",orders[[#This Row],[Customer Gender]]="o","Others",TRUE,"Unknown")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 "Male",orders[[#This Row],[Customer Gender]]="F","Female",orders[[#This Row],[Customer Gender]]="o","Others",TRUE,"Unknown")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 "Male",orders[[#This Row],[Customer Gender]]="F","Female",orders[[#This Row],[Customer Gender]]="o","Others",TRUE,"Unknown")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 "Male",orders[[#This Row],[Customer Gender]]="F","Female",orders[[#This Row],[Customer Gender]]="o","Others",TRUE,"Unknown")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 "Male",orders[[#This Row],[Customer Gender]]="F","Female",orders[[#This Row],[Customer Gender]]="o","Others",TRUE,"Unknown")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 "Male",orders[[#This Row],[Customer Gender]]="F","Female",orders[[#This Row],[Customer Gender]]="o","Others",TRUE,"Unknown")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 "Male",orders[[#This Row],[Customer Gender]]="F","Female",orders[[#This Row],[Customer Gender]]="o","Others",TRUE,"Unknown")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 "Male",orders[[#This Row],[Customer Gender]]="F","Female",orders[[#This Row],[Customer Gender]]="o","Others",TRUE,"Unknown")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 "Male",orders[[#This Row],[Customer Gender]]="F","Female",orders[[#This Row],[Customer Gender]]="o","Others",TRUE,"Unknown")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 "Male",orders[[#This Row],[Customer Gender]]="F","Female",orders[[#This Row],[Customer Gender]]="o","Others",TRUE,"Unknown")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 "Male",orders[[#This Row],[Customer Gender]]="F","Female",orders[[#This Row],[Customer Gender]]="o","Others",TRUE,"Unknown")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 "Male",orders[[#This Row],[Customer Gender]]="F","Female",orders[[#This Row],[Customer Gender]]="o","Others",TRUE,"Unknown")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 "Male",orders[[#This Row],[Customer Gender]]="F","Female",orders[[#This Row],[Customer Gender]]="o","Others",TRUE,"Unknown")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 "Male",orders[[#This Row],[Customer Gender]]="F","Female",orders[[#This Row],[Customer Gender]]="o","Others",TRUE,"Unknown")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 "Male",orders[[#This Row],[Customer Gender]]="F","Female",orders[[#This Row],[Customer Gender]]="o","Others",TRUE,"Unknown")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 "Male",orders[[#This Row],[Customer Gender]]="F","Female",orders[[#This Row],[Customer Gender]]="o","Others",TRUE,"Unknown")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 "Male",orders[[#This Row],[Customer Gender]]="F","Female",orders[[#This Row],[Customer Gender]]="o","Others",TRUE,"Unknown")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 "Male",orders[[#This Row],[Customer Gender]]="F","Female",orders[[#This Row],[Customer Gender]]="o","Others",TRUE,"Unknown")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 "Male",orders[[#This Row],[Customer Gender]]="F","Female",orders[[#This Row],[Customer Gender]]="o","Others",TRUE,"Unknown")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 "Male",orders[[#This Row],[Customer Gender]]="F","Female",orders[[#This Row],[Customer Gender]]="o","Others",TRUE,"Unknown")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 "Male",orders[[#This Row],[Customer Gender]]="F","Female",orders[[#This Row],[Customer Gender]]="o","Others",TRUE,"Unknown")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 "Male",orders[[#This Row],[Customer Gender]]="F","Female",orders[[#This Row],[Customer Gender]]="o","Others",TRUE,"Unknown")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 "Male",orders[[#This Row],[Customer Gender]]="F","Female",orders[[#This Row],[Customer Gender]]="o","Others",TRUE,"Unknown")</f>
        <v>Others</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 "Male",orders[[#This Row],[Customer Gender]]="F","Female",orders[[#This Row],[Customer Gender]]="o","Others",TRUE,"Unknown")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 "Male",orders[[#This Row],[Customer Gender]]="F","Female",orders[[#This Row],[Customer Gender]]="o","Others",TRUE,"Unknown")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 "Male",orders[[#This Row],[Customer Gender]]="F","Female",orders[[#This Row],[Customer Gender]]="o","Others",TRUE,"Unknown")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 "Male",orders[[#This Row],[Customer Gender]]="F","Female",orders[[#This Row],[Customer Gender]]="o","Others",TRUE,"Unknown")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 "Male",orders[[#This Row],[Customer Gender]]="F","Female",orders[[#This Row],[Customer Gender]]="o","Others",TRUE,"Unknown")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 "Male",orders[[#This Row],[Customer Gender]]="F","Female",orders[[#This Row],[Customer Gender]]="o","Others",TRUE,"Unknown")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 "Male",orders[[#This Row],[Customer Gender]]="F","Female",orders[[#This Row],[Customer Gender]]="o","Others",TRUE,"Unknown")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 "Male",orders[[#This Row],[Customer Gender]]="F","Female",orders[[#This Row],[Customer Gender]]="o","Others",TRUE,"Unknown")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 "Male",orders[[#This Row],[Customer Gender]]="F","Female",orders[[#This Row],[Customer Gender]]="o","Others",TRUE,"Unknown")</f>
        <v>Others</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 "Male",orders[[#This Row],[Customer Gender]]="F","Female",orders[[#This Row],[Customer Gender]]="o","Others",TRUE,"Unknown")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 "Male",orders[[#This Row],[Customer Gender]]="F","Female",orders[[#This Row],[Customer Gender]]="o","Others",TRUE,"Unknown")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 "Male",orders[[#This Row],[Customer Gender]]="F","Female",orders[[#This Row],[Customer Gender]]="o","Others",TRUE,"Unknown")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 "Male",orders[[#This Row],[Customer Gender]]="F","Female",orders[[#This Row],[Customer Gender]]="o","Others",TRUE,"Unknown")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 "Male",orders[[#This Row],[Customer Gender]]="F","Female",orders[[#This Row],[Customer Gender]]="o","Others",TRUE,"Unknown")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 "Male",orders[[#This Row],[Customer Gender]]="F","Female",orders[[#This Row],[Customer Gender]]="o","Others",TRUE,"Unknown")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 "Male",orders[[#This Row],[Customer Gender]]="F","Female",orders[[#This Row],[Customer Gender]]="o","Others",TRUE,"Unknown")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 "Male",orders[[#This Row],[Customer Gender]]="F","Female",orders[[#This Row],[Customer Gender]]="o","Others",TRUE,"Unknown")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 "Male",orders[[#This Row],[Customer Gender]]="F","Female",orders[[#This Row],[Customer Gender]]="o","Others",TRUE,"Unknown")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 "Male",orders[[#This Row],[Customer Gender]]="F","Female",orders[[#This Row],[Customer Gender]]="o","Others",TRUE,"Unknown")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 "Male",orders[[#This Row],[Customer Gender]]="F","Female",orders[[#This Row],[Customer Gender]]="o","Others",TRUE,"Unknown")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 "Male",orders[[#This Row],[Customer Gender]]="F","Female",orders[[#This Row],[Customer Gender]]="o","Others",TRUE,"Unknown")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 "Male",orders[[#This Row],[Customer Gender]]="F","Female",orders[[#This Row],[Customer Gender]]="o","Others",TRUE,"Unknown")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 "Male",orders[[#This Row],[Customer Gender]]="F","Female",orders[[#This Row],[Customer Gender]]="o","Others",TRUE,"Unknown")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 "Male",orders[[#This Row],[Customer Gender]]="F","Female",orders[[#This Row],[Customer Gender]]="o","Others",TRUE,"Unknown")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 "Male",orders[[#This Row],[Customer Gender]]="F","Female",orders[[#This Row],[Customer Gender]]="o","Others",TRUE,"Unknown")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 "Male",orders[[#This Row],[Customer Gender]]="F","Female",orders[[#This Row],[Customer Gender]]="o","Others",TRUE,"Unknown")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 "Male",orders[[#This Row],[Customer Gender]]="F","Female",orders[[#This Row],[Customer Gender]]="o","Others",TRUE,"Unknown")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 "Male",orders[[#This Row],[Customer Gender]]="F","Female",orders[[#This Row],[Customer Gender]]="o","Others",TRUE,"Unknown")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 "Male",orders[[#This Row],[Customer Gender]]="F","Female",orders[[#This Row],[Customer Gender]]="o","Others",TRUE,"Unknown")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 "Male",orders[[#This Row],[Customer Gender]]="F","Female",orders[[#This Row],[Customer Gender]]="o","Others",TRUE,"Unknown")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 "Male",orders[[#This Row],[Customer Gender]]="F","Female",orders[[#This Row],[Customer Gender]]="o","Others",TRUE,"Unknown")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 "Male",orders[[#This Row],[Customer Gender]]="F","Female",orders[[#This Row],[Customer Gender]]="o","Others",TRUE,"Unknown")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 "Male",orders[[#This Row],[Customer Gender]]="F","Female",orders[[#This Row],[Customer Gender]]="o","Others",TRUE,"Unknown")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 "Male",orders[[#This Row],[Customer Gender]]="F","Female",orders[[#This Row],[Customer Gender]]="o","Others",TRUE,"Unknown")</f>
        <v>Others</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 "Male",orders[[#This Row],[Customer Gender]]="F","Female",orders[[#This Row],[Customer Gender]]="o","Others",TRUE,"Unknown")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 "Male",orders[[#This Row],[Customer Gender]]="F","Female",orders[[#This Row],[Customer Gender]]="o","Others",TRUE,"Unknown")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 "Male",orders[[#This Row],[Customer Gender]]="F","Female",orders[[#This Row],[Customer Gender]]="o","Others",TRUE,"Unknown")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 "Male",orders[[#This Row],[Customer Gender]]="F","Female",orders[[#This Row],[Customer Gender]]="o","Others",TRUE,"Unknown")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 "Male",orders[[#This Row],[Customer Gender]]="F","Female",orders[[#This Row],[Customer Gender]]="o","Others",TRUE,"Unknown")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 "Male",orders[[#This Row],[Customer Gender]]="F","Female",orders[[#This Row],[Customer Gender]]="o","Others",TRUE,"Unknown")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 "Male",orders[[#This Row],[Customer Gender]]="F","Female",orders[[#This Row],[Customer Gender]]="o","Others",TRUE,"Unknown")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 "Male",orders[[#This Row],[Customer Gender]]="F","Female",orders[[#This Row],[Customer Gender]]="o","Others",TRUE,"Unknown")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 "Male",orders[[#This Row],[Customer Gender]]="F","Female",orders[[#This Row],[Customer Gender]]="o","Others",TRUE,"Unknown")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 "Male",orders[[#This Row],[Customer Gender]]="F","Female",orders[[#This Row],[Customer Gender]]="o","Others",TRUE,"Unknown")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 "Male",orders[[#This Row],[Customer Gender]]="F","Female",orders[[#This Row],[Customer Gender]]="o","Others",TRUE,"Unknown")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 "Male",orders[[#This Row],[Customer Gender]]="F","Female",orders[[#This Row],[Customer Gender]]="o","Others",TRUE,"Unknown")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 "Male",orders[[#This Row],[Customer Gender]]="F","Female",orders[[#This Row],[Customer Gender]]="o","Others",TRUE,"Unknown")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 "Male",orders[[#This Row],[Customer Gender]]="F","Female",orders[[#This Row],[Customer Gender]]="o","Others",TRUE,"Unknown")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 "Male",orders[[#This Row],[Customer Gender]]="F","Female",orders[[#This Row],[Customer Gender]]="o","Others",TRUE,"Unknown")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 "Male",orders[[#This Row],[Customer Gender]]="F","Female",orders[[#This Row],[Customer Gender]]="o","Others",TRUE,"Unknown")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 "Male",orders[[#This Row],[Customer Gender]]="F","Female",orders[[#This Row],[Customer Gender]]="o","Others",TRUE,"Unknown")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 "Male",orders[[#This Row],[Customer Gender]]="F","Female",orders[[#This Row],[Customer Gender]]="o","Others",TRUE,"Unknown")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 "Male",orders[[#This Row],[Customer Gender]]="F","Female",orders[[#This Row],[Customer Gender]]="o","Others",TRUE,"Unknown")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 "Male",orders[[#This Row],[Customer Gender]]="F","Female",orders[[#This Row],[Customer Gender]]="o","Others",TRUE,"Unknown")</f>
        <v>Others</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 "Male",orders[[#This Row],[Customer Gender]]="F","Female",orders[[#This Row],[Customer Gender]]="o","Others",TRUE,"Unknown")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 "Male",orders[[#This Row],[Customer Gender]]="F","Female",orders[[#This Row],[Customer Gender]]="o","Others",TRUE,"Unknown")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 "Male",orders[[#This Row],[Customer Gender]]="F","Female",orders[[#This Row],[Customer Gender]]="o","Others",TRUE,"Unknown")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 "Male",orders[[#This Row],[Customer Gender]]="F","Female",orders[[#This Row],[Customer Gender]]="o","Others",TRUE,"Unknown")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 "Male",orders[[#This Row],[Customer Gender]]="F","Female",orders[[#This Row],[Customer Gender]]="o","Others",TRUE,"Unknown")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 "Male",orders[[#This Row],[Customer Gender]]="F","Female",orders[[#This Row],[Customer Gender]]="o","Others",TRUE,"Unknown")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 "Male",orders[[#This Row],[Customer Gender]]="F","Female",orders[[#This Row],[Customer Gender]]="o","Others",TRUE,"Unknown")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 "Male",orders[[#This Row],[Customer Gender]]="F","Female",orders[[#This Row],[Customer Gender]]="o","Others",TRUE,"Unknown")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 "Male",orders[[#This Row],[Customer Gender]]="F","Female",orders[[#This Row],[Customer Gender]]="o","Others",TRUE,"Unknown")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 "Male",orders[[#This Row],[Customer Gender]]="F","Female",orders[[#This Row],[Customer Gender]]="o","Others",TRUE,"Unknown")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 "Male",orders[[#This Row],[Customer Gender]]="F","Female",orders[[#This Row],[Customer Gender]]="o","Others",TRUE,"Unknown")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 "Male",orders[[#This Row],[Customer Gender]]="F","Female",orders[[#This Row],[Customer Gender]]="o","Others",TRUE,"Unknown")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 "Male",orders[[#This Row],[Customer Gender]]="F","Female",orders[[#This Row],[Customer Gender]]="o","Others",TRUE,"Unknown")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 "Male",orders[[#This Row],[Customer Gender]]="F","Female",orders[[#This Row],[Customer Gender]]="o","Others",TRUE,"Unknown")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 "Male",orders[[#This Row],[Customer Gender]]="F","Female",orders[[#This Row],[Customer Gender]]="o","Others",TRUE,"Unknown")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 "Male",orders[[#This Row],[Customer Gender]]="F","Female",orders[[#This Row],[Customer Gender]]="o","Others",TRUE,"Unknown")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 "Male",orders[[#This Row],[Customer Gender]]="F","Female",orders[[#This Row],[Customer Gender]]="o","Others",TRUE,"Unknown")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 "Male",orders[[#This Row],[Customer Gender]]="F","Female",orders[[#This Row],[Customer Gender]]="o","Others",TRUE,"Unknown")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 "Male",orders[[#This Row],[Customer Gender]]="F","Female",orders[[#This Row],[Customer Gender]]="o","Others",TRUE,"Unknown")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 "Male",orders[[#This Row],[Customer Gender]]="F","Female",orders[[#This Row],[Customer Gender]]="o","Others",TRUE,"Unknown")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 "Male",orders[[#This Row],[Customer Gender]]="F","Female",orders[[#This Row],[Customer Gender]]="o","Others",TRUE,"Unknown")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 "Male",orders[[#This Row],[Customer Gender]]="F","Female",orders[[#This Row],[Customer Gender]]="o","Others",TRUE,"Unknown")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 "Male",orders[[#This Row],[Customer Gender]]="F","Female",orders[[#This Row],[Customer Gender]]="o","Others",TRUE,"Unknown")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 "Male",orders[[#This Row],[Customer Gender]]="F","Female",orders[[#This Row],[Customer Gender]]="o","Others",TRUE,"Unknown")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 "Male",orders[[#This Row],[Customer Gender]]="F","Female",orders[[#This Row],[Customer Gender]]="o","Others",TRUE,"Unknown")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 "Male",orders[[#This Row],[Customer Gender]]="F","Female",orders[[#This Row],[Customer Gender]]="o","Others",TRUE,"Unknown")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 "Male",orders[[#This Row],[Customer Gender]]="F","Female",orders[[#This Row],[Customer Gender]]="o","Others",TRUE,"Unknown")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 "Male",orders[[#This Row],[Customer Gender]]="F","Female",orders[[#This Row],[Customer Gender]]="o","Others",TRUE,"Unknown")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 "Male",orders[[#This Row],[Customer Gender]]="F","Female",orders[[#This Row],[Customer Gender]]="o","Others",TRUE,"Unknown")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 "Male",orders[[#This Row],[Customer Gender]]="F","Female",orders[[#This Row],[Customer Gender]]="o","Others",TRUE,"Unknown")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 "Male",orders[[#This Row],[Customer Gender]]="F","Female",orders[[#This Row],[Customer Gender]]="o","Others",TRUE,"Unknown")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 "Male",orders[[#This Row],[Customer Gender]]="F","Female",orders[[#This Row],[Customer Gender]]="o","Others",TRUE,"Unknown")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 "Male",orders[[#This Row],[Customer Gender]]="F","Female",orders[[#This Row],[Customer Gender]]="o","Others",TRUE,"Unknown")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 "Male",orders[[#This Row],[Customer Gender]]="F","Female",orders[[#This Row],[Customer Gender]]="o","Others",TRUE,"Unknown")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 "Male",orders[[#This Row],[Customer Gender]]="F","Female",orders[[#This Row],[Customer Gender]]="o","Others",TRUE,"Unknown")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 "Male",orders[[#This Row],[Customer Gender]]="F","Female",orders[[#This Row],[Customer Gender]]="o","Others",TRUE,"Unknown")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 "Male",orders[[#This Row],[Customer Gender]]="F","Female",orders[[#This Row],[Customer Gender]]="o","Others",TRUE,"Unknown")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 "Male",orders[[#This Row],[Customer Gender]]="F","Female",orders[[#This Row],[Customer Gender]]="o","Others",TRUE,"Unknown")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 "Male",orders[[#This Row],[Customer Gender]]="F","Female",orders[[#This Row],[Customer Gender]]="o","Others",TRUE,"Unknown")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 "Male",orders[[#This Row],[Customer Gender]]="F","Female",orders[[#This Row],[Customer Gender]]="o","Others",TRUE,"Unknown")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 "Male",orders[[#This Row],[Customer Gender]]="F","Female",orders[[#This Row],[Customer Gender]]="o","Others",TRUE,"Unknown")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 "Male",orders[[#This Row],[Customer Gender]]="F","Female",orders[[#This Row],[Customer Gender]]="o","Others",TRUE,"Unknown")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 "Male",orders[[#This Row],[Customer Gender]]="F","Female",orders[[#This Row],[Customer Gender]]="o","Others",TRUE,"Unknown")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 "Male",orders[[#This Row],[Customer Gender]]="F","Female",orders[[#This Row],[Customer Gender]]="o","Others",TRUE,"Unknown")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 "Male",orders[[#This Row],[Customer Gender]]="F","Female",orders[[#This Row],[Customer Gender]]="o","Others",TRUE,"Unknown")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 "Male",orders[[#This Row],[Customer Gender]]="F","Female",orders[[#This Row],[Customer Gender]]="o","Others",TRUE,"Unknown")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 "Male",orders[[#This Row],[Customer Gender]]="F","Female",orders[[#This Row],[Customer Gender]]="o","Others",TRUE,"Unknown")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 "Male",orders[[#This Row],[Customer Gender]]="F","Female",orders[[#This Row],[Customer Gender]]="o","Others",TRUE,"Unknown")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 "Male",orders[[#This Row],[Customer Gender]]="F","Female",orders[[#This Row],[Customer Gender]]="o","Others",TRUE,"Unknown")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 "Male",orders[[#This Row],[Customer Gender]]="F","Female",orders[[#This Row],[Customer Gender]]="o","Others",TRUE,"Unknown")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 "Male",orders[[#This Row],[Customer Gender]]="F","Female",orders[[#This Row],[Customer Gender]]="o","Others",TRUE,"Unknown")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 "Male",orders[[#This Row],[Customer Gender]]="F","Female",orders[[#This Row],[Customer Gender]]="o","Others",TRUE,"Unknown")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 "Male",orders[[#This Row],[Customer Gender]]="F","Female",orders[[#This Row],[Customer Gender]]="o","Others",TRUE,"Unknown")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 "Male",orders[[#This Row],[Customer Gender]]="F","Female",orders[[#This Row],[Customer Gender]]="o","Others",TRUE,"Unknown")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 "Male",orders[[#This Row],[Customer Gender]]="F","Female",orders[[#This Row],[Customer Gender]]="o","Others",TRUE,"Unknown")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 "Male",orders[[#This Row],[Customer Gender]]="F","Female",orders[[#This Row],[Customer Gender]]="o","Others",TRUE,"Unknown")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 "Male",orders[[#This Row],[Customer Gender]]="F","Female",orders[[#This Row],[Customer Gender]]="o","Others",TRUE,"Unknown")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 "Male",orders[[#This Row],[Customer Gender]]="F","Female",orders[[#This Row],[Customer Gender]]="o","Others",TRUE,"Unknown")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 "Male",orders[[#This Row],[Customer Gender]]="F","Female",orders[[#This Row],[Customer Gender]]="o","Others",TRUE,"Unknown")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 "Male",orders[[#This Row],[Customer Gender]]="F","Female",orders[[#This Row],[Customer Gender]]="o","Others",TRUE,"Unknown")</f>
        <v>Others</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 "Male",orders[[#This Row],[Customer Gender]]="F","Female",orders[[#This Row],[Customer Gender]]="o","Others",TRUE,"Unknown")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 "Male",orders[[#This Row],[Customer Gender]]="F","Female",orders[[#This Row],[Customer Gender]]="o","Others",TRUE,"Unknown")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 "Male",orders[[#This Row],[Customer Gender]]="F","Female",orders[[#This Row],[Customer Gender]]="o","Others",TRUE,"Unknown")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 "Male",orders[[#This Row],[Customer Gender]]="F","Female",orders[[#This Row],[Customer Gender]]="o","Others",TRUE,"Unknown")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 "Male",orders[[#This Row],[Customer Gender]]="F","Female",orders[[#This Row],[Customer Gender]]="o","Others",TRUE,"Unknown")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 "Male",orders[[#This Row],[Customer Gender]]="F","Female",orders[[#This Row],[Customer Gender]]="o","Others",TRUE,"Unknown")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 "Male",orders[[#This Row],[Customer Gender]]="F","Female",orders[[#This Row],[Customer Gender]]="o","Others",TRUE,"Unknown")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 "Male",orders[[#This Row],[Customer Gender]]="F","Female",orders[[#This Row],[Customer Gender]]="o","Others",TRUE,"Unknown")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 "Male",orders[[#This Row],[Customer Gender]]="F","Female",orders[[#This Row],[Customer Gender]]="o","Others",TRUE,"Unknown")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 "Male",orders[[#This Row],[Customer Gender]]="F","Female",orders[[#This Row],[Customer Gender]]="o","Others",TRUE,"Unknown")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 "Male",orders[[#This Row],[Customer Gender]]="F","Female",orders[[#This Row],[Customer Gender]]="o","Others",TRUE,"Unknown")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 "Male",orders[[#This Row],[Customer Gender]]="F","Female",orders[[#This Row],[Customer Gender]]="o","Others",TRUE,"Unknown")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 "Male",orders[[#This Row],[Customer Gender]]="F","Female",orders[[#This Row],[Customer Gender]]="o","Others",TRUE,"Unknown")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 "Male",orders[[#This Row],[Customer Gender]]="F","Female",orders[[#This Row],[Customer Gender]]="o","Others",TRUE,"Unknown")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 "Male",orders[[#This Row],[Customer Gender]]="F","Female",orders[[#This Row],[Customer Gender]]="o","Others",TRUE,"Unknown")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 "Male",orders[[#This Row],[Customer Gender]]="F","Female",orders[[#This Row],[Customer Gender]]="o","Others",TRUE,"Unknown")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 "Male",orders[[#This Row],[Customer Gender]]="F","Female",orders[[#This Row],[Customer Gender]]="o","Others",TRUE,"Unknown")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 "Male",orders[[#This Row],[Customer Gender]]="F","Female",orders[[#This Row],[Customer Gender]]="o","Others",TRUE,"Unknown")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 "Male",orders[[#This Row],[Customer Gender]]="F","Female",orders[[#This Row],[Customer Gender]]="o","Others",TRUE,"Unknown")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 "Male",orders[[#This Row],[Customer Gender]]="F","Female",orders[[#This Row],[Customer Gender]]="o","Others",TRUE,"Unknown")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 "Male",orders[[#This Row],[Customer Gender]]="F","Female",orders[[#This Row],[Customer Gender]]="o","Others",TRUE,"Unknown")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 "Male",orders[[#This Row],[Customer Gender]]="F","Female",orders[[#This Row],[Customer Gender]]="o","Others",TRUE,"Unknown")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 "Male",orders[[#This Row],[Customer Gender]]="F","Female",orders[[#This Row],[Customer Gender]]="o","Others",TRUE,"Unknown")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 "Male",orders[[#This Row],[Customer Gender]]="F","Female",orders[[#This Row],[Customer Gender]]="o","Others",TRUE,"Unknown")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 "Male",orders[[#This Row],[Customer Gender]]="F","Female",orders[[#This Row],[Customer Gender]]="o","Others",TRUE,"Unknown")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 "Male",orders[[#This Row],[Customer Gender]]="F","Female",orders[[#This Row],[Customer Gender]]="o","Others",TRUE,"Unknown")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 "Male",orders[[#This Row],[Customer Gender]]="F","Female",orders[[#This Row],[Customer Gender]]="o","Others",TRUE,"Unknown")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 "Male",orders[[#This Row],[Customer Gender]]="F","Female",orders[[#This Row],[Customer Gender]]="o","Others",TRUE,"Unknown")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 "Male",orders[[#This Row],[Customer Gender]]="F","Female",orders[[#This Row],[Customer Gender]]="o","Others",TRUE,"Unknown")</f>
        <v>Others</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 "Male",orders[[#This Row],[Customer Gender]]="F","Female",orders[[#This Row],[Customer Gender]]="o","Others",TRUE,"Unknown")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 "Male",orders[[#This Row],[Customer Gender]]="F","Female",orders[[#This Row],[Customer Gender]]="o","Others",TRUE,"Unknown")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 "Male",orders[[#This Row],[Customer Gender]]="F","Female",orders[[#This Row],[Customer Gender]]="o","Others",TRUE,"Unknown")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 "Male",orders[[#This Row],[Customer Gender]]="F","Female",orders[[#This Row],[Customer Gender]]="o","Others",TRUE,"Unknown")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 "Male",orders[[#This Row],[Customer Gender]]="F","Female",orders[[#This Row],[Customer Gender]]="o","Others",TRUE,"Unknown")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 "Male",orders[[#This Row],[Customer Gender]]="F","Female",orders[[#This Row],[Customer Gender]]="o","Others",TRUE,"Unknown")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 "Male",orders[[#This Row],[Customer Gender]]="F","Female",orders[[#This Row],[Customer Gender]]="o","Others",TRUE,"Unknown")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 "Male",orders[[#This Row],[Customer Gender]]="F","Female",orders[[#This Row],[Customer Gender]]="o","Others",TRUE,"Unknown")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 "Male",orders[[#This Row],[Customer Gender]]="F","Female",orders[[#This Row],[Customer Gender]]="o","Others",TRUE,"Unknown")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 "Male",orders[[#This Row],[Customer Gender]]="F","Female",orders[[#This Row],[Customer Gender]]="o","Others",TRUE,"Unknown")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 "Male",orders[[#This Row],[Customer Gender]]="F","Female",orders[[#This Row],[Customer Gender]]="o","Others",TRUE,"Unknown")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 "Male",orders[[#This Row],[Customer Gender]]="F","Female",orders[[#This Row],[Customer Gender]]="o","Others",TRUE,"Unknown")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 "Male",orders[[#This Row],[Customer Gender]]="F","Female",orders[[#This Row],[Customer Gender]]="o","Others",TRUE,"Unknown")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 "Male",orders[[#This Row],[Customer Gender]]="F","Female",orders[[#This Row],[Customer Gender]]="o","Others",TRUE,"Unknown")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 "Male",orders[[#This Row],[Customer Gender]]="F","Female",orders[[#This Row],[Customer Gender]]="o","Others",TRUE,"Unknown")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 "Male",orders[[#This Row],[Customer Gender]]="F","Female",orders[[#This Row],[Customer Gender]]="o","Others",TRUE,"Unknown")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 "Male",orders[[#This Row],[Customer Gender]]="F","Female",orders[[#This Row],[Customer Gender]]="o","Others",TRUE,"Unknown")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 "Male",orders[[#This Row],[Customer Gender]]="F","Female",orders[[#This Row],[Customer Gender]]="o","Others",TRUE,"Unknown")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 "Male",orders[[#This Row],[Customer Gender]]="F","Female",orders[[#This Row],[Customer Gender]]="o","Others",TRUE,"Unknown")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 "Male",orders[[#This Row],[Customer Gender]]="F","Female",orders[[#This Row],[Customer Gender]]="o","Others",TRUE,"Unknown")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 "Male",orders[[#This Row],[Customer Gender]]="F","Female",orders[[#This Row],[Customer Gender]]="o","Others",TRUE,"Unknown")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 "Male",orders[[#This Row],[Customer Gender]]="F","Female",orders[[#This Row],[Customer Gender]]="o","Others",TRUE,"Unknown")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 "Male",orders[[#This Row],[Customer Gender]]="F","Female",orders[[#This Row],[Customer Gender]]="o","Others",TRUE,"Unknown")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 "Male",orders[[#This Row],[Customer Gender]]="F","Female",orders[[#This Row],[Customer Gender]]="o","Others",TRUE,"Unknown")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 "Male",orders[[#This Row],[Customer Gender]]="F","Female",orders[[#This Row],[Customer Gender]]="o","Others",TRUE,"Unknown")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 "Male",orders[[#This Row],[Customer Gender]]="F","Female",orders[[#This Row],[Customer Gender]]="o","Others",TRUE,"Unknown")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 "Male",orders[[#This Row],[Customer Gender]]="F","Female",orders[[#This Row],[Customer Gender]]="o","Others",TRUE,"Unknown")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 "Male",orders[[#This Row],[Customer Gender]]="F","Female",orders[[#This Row],[Customer Gender]]="o","Others",TRUE,"Unknown")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 "Male",orders[[#This Row],[Customer Gender]]="F","Female",orders[[#This Row],[Customer Gender]]="o","Others",TRUE,"Unknown")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 "Male",orders[[#This Row],[Customer Gender]]="F","Female",orders[[#This Row],[Customer Gender]]="o","Others",TRUE,"Unknown")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 "Male",orders[[#This Row],[Customer Gender]]="F","Female",orders[[#This Row],[Customer Gender]]="o","Others",TRUE,"Unknown")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 "Male",orders[[#This Row],[Customer Gender]]="F","Female",orders[[#This Row],[Customer Gender]]="o","Others",TRUE,"Unknown")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 "Male",orders[[#This Row],[Customer Gender]]="F","Female",orders[[#This Row],[Customer Gender]]="o","Others",TRUE,"Unknown")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 "Male",orders[[#This Row],[Customer Gender]]="F","Female",orders[[#This Row],[Customer Gender]]="o","Others",TRUE,"Unknown")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 "Male",orders[[#This Row],[Customer Gender]]="F","Female",orders[[#This Row],[Customer Gender]]="o","Others",TRUE,"Unknown")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 "Male",orders[[#This Row],[Customer Gender]]="F","Female",orders[[#This Row],[Customer Gender]]="o","Others",TRUE,"Unknown")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 "Male",orders[[#This Row],[Customer Gender]]="F","Female",orders[[#This Row],[Customer Gender]]="o","Others",TRUE,"Unknown")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 "Male",orders[[#This Row],[Customer Gender]]="F","Female",orders[[#This Row],[Customer Gender]]="o","Others",TRUE,"Unknown")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 "Male",orders[[#This Row],[Customer Gender]]="F","Female",orders[[#This Row],[Customer Gender]]="o","Others",TRUE,"Unknown")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 "Male",orders[[#This Row],[Customer Gender]]="F","Female",orders[[#This Row],[Customer Gender]]="o","Others",TRUE,"Unknown")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 "Male",orders[[#This Row],[Customer Gender]]="F","Female",orders[[#This Row],[Customer Gender]]="o","Others",TRUE,"Unknown")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 "Male",orders[[#This Row],[Customer Gender]]="F","Female",orders[[#This Row],[Customer Gender]]="o","Others",TRUE,"Unknown")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 "Male",orders[[#This Row],[Customer Gender]]="F","Female",orders[[#This Row],[Customer Gender]]="o","Others",TRUE,"Unknown")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 "Male",orders[[#This Row],[Customer Gender]]="F","Female",orders[[#This Row],[Customer Gender]]="o","Others",TRUE,"Unknown")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 "Male",orders[[#This Row],[Customer Gender]]="F","Female",orders[[#This Row],[Customer Gender]]="o","Others",TRUE,"Unknown")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 "Male",orders[[#This Row],[Customer Gender]]="F","Female",orders[[#This Row],[Customer Gender]]="o","Others",TRUE,"Unknown")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 "Male",orders[[#This Row],[Customer Gender]]="F","Female",orders[[#This Row],[Customer Gender]]="o","Others",TRUE,"Unknown")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 "Male",orders[[#This Row],[Customer Gender]]="F","Female",orders[[#This Row],[Customer Gender]]="o","Others",TRUE,"Unknown")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 "Male",orders[[#This Row],[Customer Gender]]="F","Female",orders[[#This Row],[Customer Gender]]="o","Others",TRUE,"Unknown")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 "Male",orders[[#This Row],[Customer Gender]]="F","Female",orders[[#This Row],[Customer Gender]]="o","Others",TRUE,"Unknown")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 "Male",orders[[#This Row],[Customer Gender]]="F","Female",orders[[#This Row],[Customer Gender]]="o","Others",TRUE,"Unknown")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 "Male",orders[[#This Row],[Customer Gender]]="F","Female",orders[[#This Row],[Customer Gender]]="o","Others",TRUE,"Unknown")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 "Male",orders[[#This Row],[Customer Gender]]="F","Female",orders[[#This Row],[Customer Gender]]="o","Others",TRUE,"Unknown")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 "Male",orders[[#This Row],[Customer Gender]]="F","Female",orders[[#This Row],[Customer Gender]]="o","Others",TRUE,"Unknown")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 "Male",orders[[#This Row],[Customer Gender]]="F","Female",orders[[#This Row],[Customer Gender]]="o","Others",TRUE,"Unknown")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 "Male",orders[[#This Row],[Customer Gender]]="F","Female",orders[[#This Row],[Customer Gender]]="o","Others",TRUE,"Unknown")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 "Male",orders[[#This Row],[Customer Gender]]="F","Female",orders[[#This Row],[Customer Gender]]="o","Others",TRUE,"Unknown")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 "Male",orders[[#This Row],[Customer Gender]]="F","Female",orders[[#This Row],[Customer Gender]]="o","Others",TRUE,"Unknown")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 "Male",orders[[#This Row],[Customer Gender]]="F","Female",orders[[#This Row],[Customer Gender]]="o","Others",TRUE,"Unknown")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 "Male",orders[[#This Row],[Customer Gender]]="F","Female",orders[[#This Row],[Customer Gender]]="o","Others",TRUE,"Unknown")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 "Male",orders[[#This Row],[Customer Gender]]="F","Female",orders[[#This Row],[Customer Gender]]="o","Others",TRUE,"Unknown")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 "Male",orders[[#This Row],[Customer Gender]]="F","Female",orders[[#This Row],[Customer Gender]]="o","Others",TRUE,"Unknown")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 "Male",orders[[#This Row],[Customer Gender]]="F","Female",orders[[#This Row],[Customer Gender]]="o","Others",TRUE,"Unknown")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 "Male",orders[[#This Row],[Customer Gender]]="F","Female",orders[[#This Row],[Customer Gender]]="o","Others",TRUE,"Unknown")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 "Male",orders[[#This Row],[Customer Gender]]="F","Female",orders[[#This Row],[Customer Gender]]="o","Others",TRUE,"Unknown")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 "Male",orders[[#This Row],[Customer Gender]]="F","Female",orders[[#This Row],[Customer Gender]]="o","Others",TRUE,"Unknown")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 "Male",orders[[#This Row],[Customer Gender]]="F","Female",orders[[#This Row],[Customer Gender]]="o","Others",TRUE,"Unknown")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 "Male",orders[[#This Row],[Customer Gender]]="F","Female",orders[[#This Row],[Customer Gender]]="o","Others",TRUE,"Unknown")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 "Male",orders[[#This Row],[Customer Gender]]="F","Female",orders[[#This Row],[Customer Gender]]="o","Others",TRUE,"Unknown")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 "Male",orders[[#This Row],[Customer Gender]]="F","Female",orders[[#This Row],[Customer Gender]]="o","Others",TRUE,"Unknown")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 "Male",orders[[#This Row],[Customer Gender]]="F","Female",orders[[#This Row],[Customer Gender]]="o","Others",TRUE,"Unknown")</f>
        <v>Others</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 "Male",orders[[#This Row],[Customer Gender]]="F","Female",orders[[#This Row],[Customer Gender]]="o","Others",TRUE,"Unknown")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 "Male",orders[[#This Row],[Customer Gender]]="F","Female",orders[[#This Row],[Customer Gender]]="o","Others",TRUE,"Unknown")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 "Male",orders[[#This Row],[Customer Gender]]="F","Female",orders[[#This Row],[Customer Gender]]="o","Others",TRUE,"Unknown")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 "Male",orders[[#This Row],[Customer Gender]]="F","Female",orders[[#This Row],[Customer Gender]]="o","Others",TRUE,"Unknown")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 "Male",orders[[#This Row],[Customer Gender]]="F","Female",orders[[#This Row],[Customer Gender]]="o","Others",TRUE,"Unknown")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 "Male",orders[[#This Row],[Customer Gender]]="F","Female",orders[[#This Row],[Customer Gender]]="o","Others",TRUE,"Unknown")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 "Male",orders[[#This Row],[Customer Gender]]="F","Female",orders[[#This Row],[Customer Gender]]="o","Others",TRUE,"Unknown")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 "Male",orders[[#This Row],[Customer Gender]]="F","Female",orders[[#This Row],[Customer Gender]]="o","Others",TRUE,"Unknown")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 "Male",orders[[#This Row],[Customer Gender]]="F","Female",orders[[#This Row],[Customer Gender]]="o","Others",TRUE,"Unknown")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 "Male",orders[[#This Row],[Customer Gender]]="F","Female",orders[[#This Row],[Customer Gender]]="o","Others",TRUE,"Unknown")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 "Male",orders[[#This Row],[Customer Gender]]="F","Female",orders[[#This Row],[Customer Gender]]="o","Others",TRUE,"Unknown")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 "Male",orders[[#This Row],[Customer Gender]]="F","Female",orders[[#This Row],[Customer Gender]]="o","Others",TRUE,"Unknown")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 "Male",orders[[#This Row],[Customer Gender]]="F","Female",orders[[#This Row],[Customer Gender]]="o","Others",TRUE,"Unknown")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 "Male",orders[[#This Row],[Customer Gender]]="F","Female",orders[[#This Row],[Customer Gender]]="o","Others",TRUE,"Unknown")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 "Male",orders[[#This Row],[Customer Gender]]="F","Female",orders[[#This Row],[Customer Gender]]="o","Others",TRUE,"Unknown")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 "Male",orders[[#This Row],[Customer Gender]]="F","Female",orders[[#This Row],[Customer Gender]]="o","Others",TRUE,"Unknown")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 "Male",orders[[#This Row],[Customer Gender]]="F","Female",orders[[#This Row],[Customer Gender]]="o","Others",TRUE,"Unknown")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 "Male",orders[[#This Row],[Customer Gender]]="F","Female",orders[[#This Row],[Customer Gender]]="o","Others",TRUE,"Unknown")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 "Male",orders[[#This Row],[Customer Gender]]="F","Female",orders[[#This Row],[Customer Gender]]="o","Others",TRUE,"Unknown")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 "Male",orders[[#This Row],[Customer Gender]]="F","Female",orders[[#This Row],[Customer Gender]]="o","Others",TRUE,"Unknown")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 "Male",orders[[#This Row],[Customer Gender]]="F","Female",orders[[#This Row],[Customer Gender]]="o","Others",TRUE,"Unknown")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 "Male",orders[[#This Row],[Customer Gender]]="F","Female",orders[[#This Row],[Customer Gender]]="o","Others",TRUE,"Unknown")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 "Male",orders[[#This Row],[Customer Gender]]="F","Female",orders[[#This Row],[Customer Gender]]="o","Others",TRUE,"Unknown")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 "Male",orders[[#This Row],[Customer Gender]]="F","Female",orders[[#This Row],[Customer Gender]]="o","Others",TRUE,"Unknown")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 "Male",orders[[#This Row],[Customer Gender]]="F","Female",orders[[#This Row],[Customer Gender]]="o","Others",TRUE,"Unknown")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 "Male",orders[[#This Row],[Customer Gender]]="F","Female",orders[[#This Row],[Customer Gender]]="o","Others",TRUE,"Unknown")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 "Male",orders[[#This Row],[Customer Gender]]="F","Female",orders[[#This Row],[Customer Gender]]="o","Others",TRUE,"Unknown")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 "Male",orders[[#This Row],[Customer Gender]]="F","Female",orders[[#This Row],[Customer Gender]]="o","Others",TRUE,"Unknown")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 "Male",orders[[#This Row],[Customer Gender]]="F","Female",orders[[#This Row],[Customer Gender]]="o","Others",TRUE,"Unknown")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 "Male",orders[[#This Row],[Customer Gender]]="F","Female",orders[[#This Row],[Customer Gender]]="o","Others",TRUE,"Unknown")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 "Male",orders[[#This Row],[Customer Gender]]="F","Female",orders[[#This Row],[Customer Gender]]="o","Others",TRUE,"Unknown")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 "Male",orders[[#This Row],[Customer Gender]]="F","Female",orders[[#This Row],[Customer Gender]]="o","Others",TRUE,"Unknown")</f>
        <v>Others</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 "Male",orders[[#This Row],[Customer Gender]]="F","Female",orders[[#This Row],[Customer Gender]]="o","Others",TRUE,"Unknown")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 "Male",orders[[#This Row],[Customer Gender]]="F","Female",orders[[#This Row],[Customer Gender]]="o","Others",TRUE,"Unknown")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 "Male",orders[[#This Row],[Customer Gender]]="F","Female",orders[[#This Row],[Customer Gender]]="o","Others",TRUE,"Unknown")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 "Male",orders[[#This Row],[Customer Gender]]="F","Female",orders[[#This Row],[Customer Gender]]="o","Others",TRUE,"Unknown")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 "Male",orders[[#This Row],[Customer Gender]]="F","Female",orders[[#This Row],[Customer Gender]]="o","Others",TRUE,"Unknown")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 "Male",orders[[#This Row],[Customer Gender]]="F","Female",orders[[#This Row],[Customer Gender]]="o","Others",TRUE,"Unknown")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 "Male",orders[[#This Row],[Customer Gender]]="F","Female",orders[[#This Row],[Customer Gender]]="o","Others",TRUE,"Unknown")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 "Male",orders[[#This Row],[Customer Gender]]="F","Female",orders[[#This Row],[Customer Gender]]="o","Others",TRUE,"Unknown")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 "Male",orders[[#This Row],[Customer Gender]]="F","Female",orders[[#This Row],[Customer Gender]]="o","Others",TRUE,"Unknown")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 "Male",orders[[#This Row],[Customer Gender]]="F","Female",orders[[#This Row],[Customer Gender]]="o","Others",TRUE,"Unknown")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 "Male",orders[[#This Row],[Customer Gender]]="F","Female",orders[[#This Row],[Customer Gender]]="o","Others",TRUE,"Unknown")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 "Male",orders[[#This Row],[Customer Gender]]="F","Female",orders[[#This Row],[Customer Gender]]="o","Others",TRUE,"Unknown")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 "Male",orders[[#This Row],[Customer Gender]]="F","Female",orders[[#This Row],[Customer Gender]]="o","Others",TRUE,"Unknown")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 "Male",orders[[#This Row],[Customer Gender]]="F","Female",orders[[#This Row],[Customer Gender]]="o","Others",TRUE,"Unknown")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 "Male",orders[[#This Row],[Customer Gender]]="F","Female",orders[[#This Row],[Customer Gender]]="o","Others",TRUE,"Unknown")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 "Male",orders[[#This Row],[Customer Gender]]="F","Female",orders[[#This Row],[Customer Gender]]="o","Others",TRUE,"Unknown")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 "Male",orders[[#This Row],[Customer Gender]]="F","Female",orders[[#This Row],[Customer Gender]]="o","Others",TRUE,"Unknown")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 "Male",orders[[#This Row],[Customer Gender]]="F","Female",orders[[#This Row],[Customer Gender]]="o","Others",TRUE,"Unknown")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 "Male",orders[[#This Row],[Customer Gender]]="F","Female",orders[[#This Row],[Customer Gender]]="o","Others",TRUE,"Unknown")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 "Male",orders[[#This Row],[Customer Gender]]="F","Female",orders[[#This Row],[Customer Gender]]="o","Others",TRUE,"Unknown")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 "Male",orders[[#This Row],[Customer Gender]]="F","Female",orders[[#This Row],[Customer Gender]]="o","Others",TRUE,"Unknown")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 "Male",orders[[#This Row],[Customer Gender]]="F","Female",orders[[#This Row],[Customer Gender]]="o","Others",TRUE,"Unknown")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 "Male",orders[[#This Row],[Customer Gender]]="F","Female",orders[[#This Row],[Customer Gender]]="o","Others",TRUE,"Unknown")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 "Male",orders[[#This Row],[Customer Gender]]="F","Female",orders[[#This Row],[Customer Gender]]="o","Others",TRUE,"Unknown")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 "Male",orders[[#This Row],[Customer Gender]]="F","Female",orders[[#This Row],[Customer Gender]]="o","Others",TRUE,"Unknown")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 "Male",orders[[#This Row],[Customer Gender]]="F","Female",orders[[#This Row],[Customer Gender]]="o","Others",TRUE,"Unknown")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 "Male",orders[[#This Row],[Customer Gender]]="F","Female",orders[[#This Row],[Customer Gender]]="o","Others",TRUE,"Unknown")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 "Male",orders[[#This Row],[Customer Gender]]="F","Female",orders[[#This Row],[Customer Gender]]="o","Others",TRUE,"Unknown")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 "Male",orders[[#This Row],[Customer Gender]]="F","Female",orders[[#This Row],[Customer Gender]]="o","Others",TRUE,"Unknown")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 "Male",orders[[#This Row],[Customer Gender]]="F","Female",orders[[#This Row],[Customer Gender]]="o","Others",TRUE,"Unknown")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 "Male",orders[[#This Row],[Customer Gender]]="F","Female",orders[[#This Row],[Customer Gender]]="o","Others",TRUE,"Unknown")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 "Male",orders[[#This Row],[Customer Gender]]="F","Female",orders[[#This Row],[Customer Gender]]="o","Others",TRUE,"Unknown")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 "Male",orders[[#This Row],[Customer Gender]]="F","Female",orders[[#This Row],[Customer Gender]]="o","Others",TRUE,"Unknown")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 "Male",orders[[#This Row],[Customer Gender]]="F","Female",orders[[#This Row],[Customer Gender]]="o","Others",TRUE,"Unknown")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 "Male",orders[[#This Row],[Customer Gender]]="F","Female",orders[[#This Row],[Customer Gender]]="o","Others",TRUE,"Unknown")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 "Male",orders[[#This Row],[Customer Gender]]="F","Female",orders[[#This Row],[Customer Gender]]="o","Others",TRUE,"Unknown")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 "Male",orders[[#This Row],[Customer Gender]]="F","Female",orders[[#This Row],[Customer Gender]]="o","Others",TRUE,"Unknown")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 "Male",orders[[#This Row],[Customer Gender]]="F","Female",orders[[#This Row],[Customer Gender]]="o","Others",TRUE,"Unknown")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 "Male",orders[[#This Row],[Customer Gender]]="F","Female",orders[[#This Row],[Customer Gender]]="o","Others",TRUE,"Unknown")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 "Male",orders[[#This Row],[Customer Gender]]="F","Female",orders[[#This Row],[Customer Gender]]="o","Others",TRUE,"Unknown")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 "Male",orders[[#This Row],[Customer Gender]]="F","Female",orders[[#This Row],[Customer Gender]]="o","Others",TRUE,"Unknown")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 "Male",orders[[#This Row],[Customer Gender]]="F","Female",orders[[#This Row],[Customer Gender]]="o","Others",TRUE,"Unknown")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 "Male",orders[[#This Row],[Customer Gender]]="F","Female",orders[[#This Row],[Customer Gender]]="o","Others",TRUE,"Unknown")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 "Male",orders[[#This Row],[Customer Gender]]="F","Female",orders[[#This Row],[Customer Gender]]="o","Others",TRUE,"Unknown")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 "Male",orders[[#This Row],[Customer Gender]]="F","Female",orders[[#This Row],[Customer Gender]]="o","Others",TRUE,"Unknown")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 "Male",orders[[#This Row],[Customer Gender]]="F","Female",orders[[#This Row],[Customer Gender]]="o","Others",TRUE,"Unknown")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 "Male",orders[[#This Row],[Customer Gender]]="F","Female",orders[[#This Row],[Customer Gender]]="o","Others",TRUE,"Unknown")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 "Male",orders[[#This Row],[Customer Gender]]="F","Female",orders[[#This Row],[Customer Gender]]="o","Others",TRUE,"Unknown")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 "Male",orders[[#This Row],[Customer Gender]]="F","Female",orders[[#This Row],[Customer Gender]]="o","Others",TRUE,"Unknown")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 "Male",orders[[#This Row],[Customer Gender]]="F","Female",orders[[#This Row],[Customer Gender]]="o","Others",TRUE,"Unknown")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 "Male",orders[[#This Row],[Customer Gender]]="F","Female",orders[[#This Row],[Customer Gender]]="o","Others",TRUE,"Unknown")</f>
        <v>Others</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 "Male",orders[[#This Row],[Customer Gender]]="F","Female",orders[[#This Row],[Customer Gender]]="o","Others",TRUE,"Unknown")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 "Male",orders[[#This Row],[Customer Gender]]="F","Female",orders[[#This Row],[Customer Gender]]="o","Others",TRUE,"Unknown")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 "Male",orders[[#This Row],[Customer Gender]]="F","Female",orders[[#This Row],[Customer Gender]]="o","Others",TRUE,"Unknown")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 "Male",orders[[#This Row],[Customer Gender]]="F","Female",orders[[#This Row],[Customer Gender]]="o","Others",TRUE,"Unknown")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 "Male",orders[[#This Row],[Customer Gender]]="F","Female",orders[[#This Row],[Customer Gender]]="o","Others",TRUE,"Unknown")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 "Male",orders[[#This Row],[Customer Gender]]="F","Female",orders[[#This Row],[Customer Gender]]="o","Others",TRUE,"Unknown")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 "Male",orders[[#This Row],[Customer Gender]]="F","Female",orders[[#This Row],[Customer Gender]]="o","Others",TRUE,"Unknown")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 "Male",orders[[#This Row],[Customer Gender]]="F","Female",orders[[#This Row],[Customer Gender]]="o","Others",TRUE,"Unknown")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 "Male",orders[[#This Row],[Customer Gender]]="F","Female",orders[[#This Row],[Customer Gender]]="o","Others",TRUE,"Unknown")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 "Male",orders[[#This Row],[Customer Gender]]="F","Female",orders[[#This Row],[Customer Gender]]="o","Others",TRUE,"Unknown")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 "Male",orders[[#This Row],[Customer Gender]]="F","Female",orders[[#This Row],[Customer Gender]]="o","Others",TRUE,"Unknown")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 "Male",orders[[#This Row],[Customer Gender]]="F","Female",orders[[#This Row],[Customer Gender]]="o","Others",TRUE,"Unknown")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 "Male",orders[[#This Row],[Customer Gender]]="F","Female",orders[[#This Row],[Customer Gender]]="o","Others",TRUE,"Unknown")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 "Male",orders[[#This Row],[Customer Gender]]="F","Female",orders[[#This Row],[Customer Gender]]="o","Others",TRUE,"Unknown")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 "Male",orders[[#This Row],[Customer Gender]]="F","Female",orders[[#This Row],[Customer Gender]]="o","Others",TRUE,"Unknown")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 "Male",orders[[#This Row],[Customer Gender]]="F","Female",orders[[#This Row],[Customer Gender]]="o","Others",TRUE,"Unknown")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 "Male",orders[[#This Row],[Customer Gender]]="F","Female",orders[[#This Row],[Customer Gender]]="o","Others",TRUE,"Unknown")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 "Male",orders[[#This Row],[Customer Gender]]="F","Female",orders[[#This Row],[Customer Gender]]="o","Others",TRUE,"Unknown")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 "Male",orders[[#This Row],[Customer Gender]]="F","Female",orders[[#This Row],[Customer Gender]]="o","Others",TRUE,"Unknown")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 "Male",orders[[#This Row],[Customer Gender]]="F","Female",orders[[#This Row],[Customer Gender]]="o","Others",TRUE,"Unknown")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 "Male",orders[[#This Row],[Customer Gender]]="F","Female",orders[[#This Row],[Customer Gender]]="o","Others",TRUE,"Unknown")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 "Male",orders[[#This Row],[Customer Gender]]="F","Female",orders[[#This Row],[Customer Gender]]="o","Others",TRUE,"Unknown")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 "Male",orders[[#This Row],[Customer Gender]]="F","Female",orders[[#This Row],[Customer Gender]]="o","Others",TRUE,"Unknown")</f>
        <v>Others</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 "Male",orders[[#This Row],[Customer Gender]]="F","Female",orders[[#This Row],[Customer Gender]]="o","Others",TRUE,"Unknown")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 "Male",orders[[#This Row],[Customer Gender]]="F","Female",orders[[#This Row],[Customer Gender]]="o","Others",TRUE,"Unknown")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 "Male",orders[[#This Row],[Customer Gender]]="F","Female",orders[[#This Row],[Customer Gender]]="o","Others",TRUE,"Unknown")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 "Male",orders[[#This Row],[Customer Gender]]="F","Female",orders[[#This Row],[Customer Gender]]="o","Others",TRUE,"Unknown")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 "Male",orders[[#This Row],[Customer Gender]]="F","Female",orders[[#This Row],[Customer Gender]]="o","Others",TRUE,"Unknown")</f>
        <v>Others</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 "Male",orders[[#This Row],[Customer Gender]]="F","Female",orders[[#This Row],[Customer Gender]]="o","Others",TRUE,"Unknown")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 "Male",orders[[#This Row],[Customer Gender]]="F","Female",orders[[#This Row],[Customer Gender]]="o","Others",TRUE,"Unknown")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 "Male",orders[[#This Row],[Customer Gender]]="F","Female",orders[[#This Row],[Customer Gender]]="o","Others",TRUE,"Unknown")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 "Male",orders[[#This Row],[Customer Gender]]="F","Female",orders[[#This Row],[Customer Gender]]="o","Others",TRUE,"Unknown")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 "Male",orders[[#This Row],[Customer Gender]]="F","Female",orders[[#This Row],[Customer Gender]]="o","Others",TRUE,"Unknown")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 "Male",orders[[#This Row],[Customer Gender]]="F","Female",orders[[#This Row],[Customer Gender]]="o","Others",TRUE,"Unknown")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 "Male",orders[[#This Row],[Customer Gender]]="F","Female",orders[[#This Row],[Customer Gender]]="o","Others",TRUE,"Unknown")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 "Male",orders[[#This Row],[Customer Gender]]="F","Female",orders[[#This Row],[Customer Gender]]="o","Others",TRUE,"Unknown")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 "Male",orders[[#This Row],[Customer Gender]]="F","Female",orders[[#This Row],[Customer Gender]]="o","Others",TRUE,"Unknown")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 "Male",orders[[#This Row],[Customer Gender]]="F","Female",orders[[#This Row],[Customer Gender]]="o","Others",TRUE,"Unknown")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 "Male",orders[[#This Row],[Customer Gender]]="F","Female",orders[[#This Row],[Customer Gender]]="o","Others",TRUE,"Unknown")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 "Male",orders[[#This Row],[Customer Gender]]="F","Female",orders[[#This Row],[Customer Gender]]="o","Others",TRUE,"Unknown")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 "Male",orders[[#This Row],[Customer Gender]]="F","Female",orders[[#This Row],[Customer Gender]]="o","Others",TRUE,"Unknown")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 "Male",orders[[#This Row],[Customer Gender]]="F","Female",orders[[#This Row],[Customer Gender]]="o","Others",TRUE,"Unknown")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 "Male",orders[[#This Row],[Customer Gender]]="F","Female",orders[[#This Row],[Customer Gender]]="o","Others",TRUE,"Unknown")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 "Male",orders[[#This Row],[Customer Gender]]="F","Female",orders[[#This Row],[Customer Gender]]="o","Others",TRUE,"Unknown")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 "Male",orders[[#This Row],[Customer Gender]]="F","Female",orders[[#This Row],[Customer Gender]]="o","Others",TRUE,"Unknown")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 "Male",orders[[#This Row],[Customer Gender]]="F","Female",orders[[#This Row],[Customer Gender]]="o","Others",TRUE,"Unknown")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 "Male",orders[[#This Row],[Customer Gender]]="F","Female",orders[[#This Row],[Customer Gender]]="o","Others",TRUE,"Unknown")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 "Male",orders[[#This Row],[Customer Gender]]="F","Female",orders[[#This Row],[Customer Gender]]="o","Others",TRUE,"Unknown")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 "Male",orders[[#This Row],[Customer Gender]]="F","Female",orders[[#This Row],[Customer Gender]]="o","Others",TRUE,"Unknown")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 "Male",orders[[#This Row],[Customer Gender]]="F","Female",orders[[#This Row],[Customer Gender]]="o","Others",TRUE,"Unknown")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 "Male",orders[[#This Row],[Customer Gender]]="F","Female",orders[[#This Row],[Customer Gender]]="o","Others",TRUE,"Unknown")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 "Male",orders[[#This Row],[Customer Gender]]="F","Female",orders[[#This Row],[Customer Gender]]="o","Others",TRUE,"Unknown")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 "Male",orders[[#This Row],[Customer Gender]]="F","Female",orders[[#This Row],[Customer Gender]]="o","Others",TRUE,"Unknown")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 "Male",orders[[#This Row],[Customer Gender]]="F","Female",orders[[#This Row],[Customer Gender]]="o","Others",TRUE,"Unknown")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 "Male",orders[[#This Row],[Customer Gender]]="F","Female",orders[[#This Row],[Customer Gender]]="o","Others",TRUE,"Unknown")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 "Male",orders[[#This Row],[Customer Gender]]="F","Female",orders[[#This Row],[Customer Gender]]="o","Others",TRUE,"Unknown")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 "Male",orders[[#This Row],[Customer Gender]]="F","Female",orders[[#This Row],[Customer Gender]]="o","Others",TRUE,"Unknown")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 "Male",orders[[#This Row],[Customer Gender]]="F","Female",orders[[#This Row],[Customer Gender]]="o","Others",TRUE,"Unknown")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 "Male",orders[[#This Row],[Customer Gender]]="F","Female",orders[[#This Row],[Customer Gender]]="o","Others",TRUE,"Unknown")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 "Male",orders[[#This Row],[Customer Gender]]="F","Female",orders[[#This Row],[Customer Gender]]="o","Others",TRUE,"Unknown")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 "Male",orders[[#This Row],[Customer Gender]]="F","Female",orders[[#This Row],[Customer Gender]]="o","Others",TRUE,"Unknown")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 "Male",orders[[#This Row],[Customer Gender]]="F","Female",orders[[#This Row],[Customer Gender]]="o","Others",TRUE,"Unknown")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 "Male",orders[[#This Row],[Customer Gender]]="F","Female",orders[[#This Row],[Customer Gender]]="o","Others",TRUE,"Unknown")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 "Male",orders[[#This Row],[Customer Gender]]="F","Female",orders[[#This Row],[Customer Gender]]="o","Others",TRUE,"Unknown")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 "Male",orders[[#This Row],[Customer Gender]]="F","Female",orders[[#This Row],[Customer Gender]]="o","Others",TRUE,"Unknown")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 "Male",orders[[#This Row],[Customer Gender]]="F","Female",orders[[#This Row],[Customer Gender]]="o","Others",TRUE,"Unknown")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 "Male",orders[[#This Row],[Customer Gender]]="F","Female",orders[[#This Row],[Customer Gender]]="o","Others",TRUE,"Unknown")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 "Male",orders[[#This Row],[Customer Gender]]="F","Female",orders[[#This Row],[Customer Gender]]="o","Others",TRUE,"Unknown")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 "Male",orders[[#This Row],[Customer Gender]]="F","Female",orders[[#This Row],[Customer Gender]]="o","Others",TRUE,"Unknown")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 "Male",orders[[#This Row],[Customer Gender]]="F","Female",orders[[#This Row],[Customer Gender]]="o","Others",TRUE,"Unknown")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 "Male",orders[[#This Row],[Customer Gender]]="F","Female",orders[[#This Row],[Customer Gender]]="o","Others",TRUE,"Unknown")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 "Male",orders[[#This Row],[Customer Gender]]="F","Female",orders[[#This Row],[Customer Gender]]="o","Others",TRUE,"Unknown")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 "Male",orders[[#This Row],[Customer Gender]]="F","Female",orders[[#This Row],[Customer Gender]]="o","Others",TRUE,"Unknown")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 "Male",orders[[#This Row],[Customer Gender]]="F","Female",orders[[#This Row],[Customer Gender]]="o","Others",TRUE,"Unknown")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 "Male",orders[[#This Row],[Customer Gender]]="F","Female",orders[[#This Row],[Customer Gender]]="o","Others",TRUE,"Unknown")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 "Male",orders[[#This Row],[Customer Gender]]="F","Female",orders[[#This Row],[Customer Gender]]="o","Others",TRUE,"Unknown")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 "Male",orders[[#This Row],[Customer Gender]]="F","Female",orders[[#This Row],[Customer Gender]]="o","Others",TRUE,"Unknown")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 "Male",orders[[#This Row],[Customer Gender]]="F","Female",orders[[#This Row],[Customer Gender]]="o","Others",TRUE,"Unknown")</f>
        <v>Others</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 "Male",orders[[#This Row],[Customer Gender]]="F","Female",orders[[#This Row],[Customer Gender]]="o","Others",TRUE,"Unknown")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 "Male",orders[[#This Row],[Customer Gender]]="F","Female",orders[[#This Row],[Customer Gender]]="o","Others",TRUE,"Unknown")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 "Male",orders[[#This Row],[Customer Gender]]="F","Female",orders[[#This Row],[Customer Gender]]="o","Others",TRUE,"Unknown")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 "Male",orders[[#This Row],[Customer Gender]]="F","Female",orders[[#This Row],[Customer Gender]]="o","Others",TRUE,"Unknown")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 "Male",orders[[#This Row],[Customer Gender]]="F","Female",orders[[#This Row],[Customer Gender]]="o","Others",TRUE,"Unknown")</f>
        <v>Others</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 "Male",orders[[#This Row],[Customer Gender]]="F","Female",orders[[#This Row],[Customer Gender]]="o","Others",TRUE,"Unknown")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 "Male",orders[[#This Row],[Customer Gender]]="F","Female",orders[[#This Row],[Customer Gender]]="o","Others",TRUE,"Unknown")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 "Male",orders[[#This Row],[Customer Gender]]="F","Female",orders[[#This Row],[Customer Gender]]="o","Others",TRUE,"Unknown")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 "Male",orders[[#This Row],[Customer Gender]]="F","Female",orders[[#This Row],[Customer Gender]]="o","Others",TRUE,"Unknown")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 "Male",orders[[#This Row],[Customer Gender]]="F","Female",orders[[#This Row],[Customer Gender]]="o","Others",TRUE,"Unknown")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 "Male",orders[[#This Row],[Customer Gender]]="F","Female",orders[[#This Row],[Customer Gender]]="o","Others",TRUE,"Unknown")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 "Male",orders[[#This Row],[Customer Gender]]="F","Female",orders[[#This Row],[Customer Gender]]="o","Others",TRUE,"Unknown")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 "Male",orders[[#This Row],[Customer Gender]]="F","Female",orders[[#This Row],[Customer Gender]]="o","Others",TRUE,"Unknown")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 "Male",orders[[#This Row],[Customer Gender]]="F","Female",orders[[#This Row],[Customer Gender]]="o","Others",TRUE,"Unknown")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 "Male",orders[[#This Row],[Customer Gender]]="F","Female",orders[[#This Row],[Customer Gender]]="o","Others",TRUE,"Unknown")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 "Male",orders[[#This Row],[Customer Gender]]="F","Female",orders[[#This Row],[Customer Gender]]="o","Others",TRUE,"Unknown")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 "Male",orders[[#This Row],[Customer Gender]]="F","Female",orders[[#This Row],[Customer Gender]]="o","Others",TRUE,"Unknown")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 "Male",orders[[#This Row],[Customer Gender]]="F","Female",orders[[#This Row],[Customer Gender]]="o","Others",TRUE,"Unknown")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 "Male",orders[[#This Row],[Customer Gender]]="F","Female",orders[[#This Row],[Customer Gender]]="o","Others",TRUE,"Unknown")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 "Male",orders[[#This Row],[Customer Gender]]="F","Female",orders[[#This Row],[Customer Gender]]="o","Others",TRUE,"Unknown")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 "Male",orders[[#This Row],[Customer Gender]]="F","Female",orders[[#This Row],[Customer Gender]]="o","Others",TRUE,"Unknown")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 "Male",orders[[#This Row],[Customer Gender]]="F","Female",orders[[#This Row],[Customer Gender]]="o","Others",TRUE,"Unknown")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 "Male",orders[[#This Row],[Customer Gender]]="F","Female",orders[[#This Row],[Customer Gender]]="o","Others",TRUE,"Unknown")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 "Male",orders[[#This Row],[Customer Gender]]="F","Female",orders[[#This Row],[Customer Gender]]="o","Others",TRUE,"Unknown")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 "Male",orders[[#This Row],[Customer Gender]]="F","Female",orders[[#This Row],[Customer Gender]]="o","Others",TRUE,"Unknown")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 "Male",orders[[#This Row],[Customer Gender]]="F","Female",orders[[#This Row],[Customer Gender]]="o","Others",TRUE,"Unknown")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 "Male",orders[[#This Row],[Customer Gender]]="F","Female",orders[[#This Row],[Customer Gender]]="o","Others",TRUE,"Unknown")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 "Male",orders[[#This Row],[Customer Gender]]="F","Female",orders[[#This Row],[Customer Gender]]="o","Others",TRUE,"Unknown")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 "Male",orders[[#This Row],[Customer Gender]]="F","Female",orders[[#This Row],[Customer Gender]]="o","Others",TRUE,"Unknown")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 "Male",orders[[#This Row],[Customer Gender]]="F","Female",orders[[#This Row],[Customer Gender]]="o","Others",TRUE,"Unknown")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 "Male",orders[[#This Row],[Customer Gender]]="F","Female",orders[[#This Row],[Customer Gender]]="o","Others",TRUE,"Unknown")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 "Male",orders[[#This Row],[Customer Gender]]="F","Female",orders[[#This Row],[Customer Gender]]="o","Others",TRUE,"Unknown")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 "Male",orders[[#This Row],[Customer Gender]]="F","Female",orders[[#This Row],[Customer Gender]]="o","Others",TRUE,"Unknown")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 "Male",orders[[#This Row],[Customer Gender]]="F","Female",orders[[#This Row],[Customer Gender]]="o","Others",TRUE,"Unknown")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 "Male",orders[[#This Row],[Customer Gender]]="F","Female",orders[[#This Row],[Customer Gender]]="o","Others",TRUE,"Unknown")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 "Male",orders[[#This Row],[Customer Gender]]="F","Female",orders[[#This Row],[Customer Gender]]="o","Others",TRUE,"Unknown")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 "Male",orders[[#This Row],[Customer Gender]]="F","Female",orders[[#This Row],[Customer Gender]]="o","Others",TRUE,"Unknown")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 "Male",orders[[#This Row],[Customer Gender]]="F","Female",orders[[#This Row],[Customer Gender]]="o","Others",TRUE,"Unknown")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 "Male",orders[[#This Row],[Customer Gender]]="F","Female",orders[[#This Row],[Customer Gender]]="o","Others",TRUE,"Unknown")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 "Male",orders[[#This Row],[Customer Gender]]="F","Female",orders[[#This Row],[Customer Gender]]="o","Others",TRUE,"Unknown")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 "Male",orders[[#This Row],[Customer Gender]]="F","Female",orders[[#This Row],[Customer Gender]]="o","Others",TRUE,"Unknown")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 "Male",orders[[#This Row],[Customer Gender]]="F","Female",orders[[#This Row],[Customer Gender]]="o","Others",TRUE,"Unknown")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 "Male",orders[[#This Row],[Customer Gender]]="F","Female",orders[[#This Row],[Customer Gender]]="o","Others",TRUE,"Unknown")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 "Male",orders[[#This Row],[Customer Gender]]="F","Female",orders[[#This Row],[Customer Gender]]="o","Others",TRUE,"Unknown")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 "Male",orders[[#This Row],[Customer Gender]]="F","Female",orders[[#This Row],[Customer Gender]]="o","Others",TRUE,"Unknown")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 "Male",orders[[#This Row],[Customer Gender]]="F","Female",orders[[#This Row],[Customer Gender]]="o","Others",TRUE,"Unknown")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 "Male",orders[[#This Row],[Customer Gender]]="F","Female",orders[[#This Row],[Customer Gender]]="o","Others",TRUE,"Unknown")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 "Male",orders[[#This Row],[Customer Gender]]="F","Female",orders[[#This Row],[Customer Gender]]="o","Others",TRUE,"Unknown")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 "Male",orders[[#This Row],[Customer Gender]]="F","Female",orders[[#This Row],[Customer Gender]]="o","Others",TRUE,"Unknown")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 "Male",orders[[#This Row],[Customer Gender]]="F","Female",orders[[#This Row],[Customer Gender]]="o","Others",TRUE,"Unknown")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 "Male",orders[[#This Row],[Customer Gender]]="F","Female",orders[[#This Row],[Customer Gender]]="o","Others",TRUE,"Unknown")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 "Male",orders[[#This Row],[Customer Gender]]="F","Female",orders[[#This Row],[Customer Gender]]="o","Others",TRUE,"Unknown")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 "Male",orders[[#This Row],[Customer Gender]]="F","Female",orders[[#This Row],[Customer Gender]]="o","Others",TRUE,"Unknown")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 "Male",orders[[#This Row],[Customer Gender]]="F","Female",orders[[#This Row],[Customer Gender]]="o","Others",TRUE,"Unknown")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 "Male",orders[[#This Row],[Customer Gender]]="F","Female",orders[[#This Row],[Customer Gender]]="o","Others",TRUE,"Unknown")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 "Male",orders[[#This Row],[Customer Gender]]="F","Female",orders[[#This Row],[Customer Gender]]="o","Others",TRUE,"Unknown")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D2D8-88A4-48A4-BB22-27830729BDDC}">
  <dimension ref="A1"/>
  <sheetViews>
    <sheetView tabSelected="1" zoomScale="67" zoomScaleNormal="75" workbookViewId="0">
      <selection activeCell="E41" sqref="E41"/>
    </sheetView>
  </sheetViews>
  <sheetFormatPr defaultRowHeight="14.4" x14ac:dyDescent="0.3"/>
  <cols>
    <col min="1" max="1" width="1.77734375" customWidth="1"/>
    <col min="2" max="2" width="28.5546875" customWidth="1"/>
    <col min="3" max="3" width="1.77734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Pivot2</vt:lpstr>
      <vt:lpstr>Data</vt:lpstr>
      <vt:lpstr>Dashboard</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sangita thapa</cp:lastModifiedBy>
  <dcterms:created xsi:type="dcterms:W3CDTF">2025-06-13T02:42:26Z</dcterms:created>
  <dcterms:modified xsi:type="dcterms:W3CDTF">2026-08-07T02:17:33Z</dcterms:modified>
</cp:coreProperties>
</file>